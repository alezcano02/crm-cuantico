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LANTILLA ENDOSOS" sheetId="1" r:id="rId1"/>
    <sheet name="NIT BANCOS" sheetId="2" r:id="rId2"/>
  </sheets>
  <definedNames>
    <definedName name="_xlnm._FilterDatabase" localSheetId="1" hidden="1">'NIT BANCOS'!A1:J174</definedName>
    <definedName name="_xlnm._FilterDatabase" localSheetId="0" hidden="1">'PLANTILLA ENDOSOS'!A5:Z65</definedName>
    <definedName name="Datos_Bancos_Listado">'NIT BANCOS'!$D$2:$D$149</definedName>
    <definedName name="Datos_Bancos_Listado_Nit">'NIT BANCOS'!$D$1:$E$174</definedName>
    <definedName name="Deducibles_Lista_Basico_Demas_Eventos">[1]DEDUCIBLES!$D$2:$D$8</definedName>
    <definedName name="Deducibles_Lista_Basico_Incendio">[1]DEDUCIBLES!$C$2:$C$8</definedName>
    <definedName name="Deducibles_Lista_HMACC_AMIT">[1]DEDUCIBLES!$B$2:$B$8</definedName>
    <definedName name="Deducibles_Lista_TTEV">[1]DEDUCIBLES!$A$2:$A$8</definedName>
    <definedName name="Polizas_En_MORA_Copropiedades">'[1]DATOS INTERMEDIARIOS'!$L$1:$L$165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6" formatCode="&quot;上午/下午 &quot;hh&quot;時&quot;mm&quot;分&quot;ss&quot;秒 &quot;"/>
    <numFmt numFmtId="164" formatCode="_(* #,##0.00_);_(* \(#,##0.00\);_(* &quot;-&quot;??_);_(@_)"/>
    <numFmt numFmtId="165" formatCode="_(&quot;$&quot;\ * #,##0.00_);_(&quot;$&quot;\ * \(#,##0.00\);_(&quot;$&quot;\ * &quot;-&quot;??_);_(@_)"/>
    <numFmt numFmtId="166" formatCode="000000000000"/>
    <numFmt numFmtId="167" formatCode="_(* #,##0_);_(* \(#,##0\);_(* &quot;-&quot;??_);_(@_)"/>
    <numFmt numFmtId="168" formatCode="0.000%"/>
    <numFmt numFmtId="169" formatCode="0;[Red]0"/>
    <numFmt numFmtId="170" formatCode="0.0000"/>
    <numFmt numFmtId="171" formatCode="[$-240A]General"/>
    <numFmt numFmtId="172" formatCode="&quot; &quot;#,##0.00&quot; &quot;;&quot; (&quot;#,##0.00&quot;)&quot;;&quot; -&quot;#&quot; &quot;;&quot; &quot;@&quot; &quot;"/>
    <numFmt numFmtId="173" formatCode="[$-240A]0%"/>
    <numFmt numFmtId="174" formatCode="[$$-240A]#,##0.00;[Red]&quot;(&quot;[$$-240A]#,##0.00&quot;)&quot;"/>
    <numFmt numFmtId="175" formatCode="_-&quot;$&quot;* #,##0.00_-;\-&quot;$&quot;* #,##0.00_-;_-&quot;$&quot;* &quot;-&quot;??_-;_-@_-"/>
    <numFmt numFmtId="176" formatCode="&quot;$&quot;\ #,##0_);[Red]\(&quot;$&quot;\ #,##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5"/>
  <sheetViews>
    <sheetView workbookViewId="0" rightToLeft="0"/>
  </sheetViews>
  <sheetData>
    <row r="1">
      <c r="B1" t="str">
        <v>POLIZA N</v>
      </c>
      <c r="C1" t="str">
        <v xml:space="preserve">TOMADOR </v>
      </c>
      <c r="D1" t="str">
        <v>NIT TOMADOR</v>
      </c>
      <c r="E1" t="str">
        <v>DIRECCIÓN PROPIEDAD</v>
      </c>
      <c r="F1" t="str">
        <v>FECHA SOLICITUD</v>
      </c>
      <c r="G1" t="str">
        <v>VIGENCIA DESDE</v>
      </c>
      <c r="H1" t="str">
        <v>VIGENCIA HASTA</v>
      </c>
      <c r="I1" t="str">
        <v>VLR EDIFICIO</v>
      </c>
      <c r="J1" t="str">
        <v>TASA</v>
      </c>
      <c r="K1" t="str">
        <v>% INDICE VARIABLE</v>
      </c>
      <c r="L1" t="str">
        <v>DIAS VIGENCIA</v>
      </c>
    </row>
    <row r="3">
      <c r="J3">
        <f>IF(K2&gt;0,J2/2,0)</f>
        <v>0</v>
      </c>
      <c r="L3">
        <f>+H2-MAX(F2,G2)+1</f>
        <v>0</v>
      </c>
    </row>
    <row r="4">
      <c r="K4">
        <v>6</v>
      </c>
    </row>
    <row r="5" xml:space="preserve">
      <c r="A5" t="str">
        <v>N°</v>
      </c>
      <c r="B5" t="str">
        <v>POLIZA N</v>
      </c>
      <c r="C5" t="str">
        <v>PROPIETARIO</v>
      </c>
      <c r="D5" t="str">
        <v>NIT PROPIETARIO</v>
      </c>
      <c r="E5" t="str">
        <v>RIESGO CASA / APTO / PARQ / UTIL</v>
      </c>
      <c r="F5" t="str">
        <v>BENEFICIARIO ONEROSO</v>
      </c>
      <c r="G5" t="str">
        <v>NIT BENEFICIARIO</v>
      </c>
      <c r="H5" t="str" xml:space="preserve">
        <v xml:space="preserve">COEFICIENTE _x000d_
REAL EN %</v>
      </c>
      <c r="I5" t="str">
        <v>VLR COMERCIAL REQUERIDO</v>
      </c>
      <c r="J5" t="str">
        <v>AUMENTO VLR ASEGURADO</v>
      </c>
      <c r="K5" t="str">
        <v>PRIMA A PRORRATA CON IVA (VALIDAR CON LA COMPAÑIA)</v>
      </c>
      <c r="L5" t="str">
        <v>FORMULA</v>
      </c>
    </row>
    <row r="6">
      <c r="B6" t="str">
        <f>IF($B$2="","",$B$2)</f>
        <v/>
      </c>
      <c r="J6">
        <f>IF(H6="","",IF(I6="","",IF(I6-(H6*$I$2/100)&lt;1,0,I6-(H6*$I$2/100))))</f>
        <v>0</v>
      </c>
      <c r="K6" t="str">
        <f>IF(L6&lt;119000,"NO GENERA COBRO",L6)</f>
        <v/>
      </c>
      <c r="L6">
        <f>IF(J6="","",IF(J6=0,0,(J6*$J$2+J6*$K$2*$J$3)/$L$2*$L$3)*1.19/10)</f>
        <v>0</v>
      </c>
    </row>
    <row r="7">
      <c r="B7" t="str">
        <f>IF($B$2="","",$B$2)</f>
        <v/>
      </c>
      <c r="J7">
        <f>IF(H7="","",IF(I7="","",IF(I7-(H7*$I$2/100)&lt;1,0,I7-(H7*$I$2/100))))</f>
        <v>0</v>
      </c>
      <c r="K7" t="str">
        <f>IF(L7&lt;119000,"NO GENERA COBRO",L7)</f>
        <v/>
      </c>
      <c r="L7">
        <f>IF(J7="","",IF(J7=0,0,(J7*$J$2+J7*$K$2*$J$3)/$L$2*$L$3)*1.19/10)</f>
        <v>0</v>
      </c>
    </row>
    <row r="8">
      <c r="B8" t="str">
        <f>IF($B$2="","",$B$2)</f>
        <v/>
      </c>
      <c r="J8">
        <f>IF(H8="","",IF(I8="","",IF(I8-(H8*$I$2/100)&lt;1,0,I8-(H8*$I$2/100))))</f>
        <v>0</v>
      </c>
      <c r="K8" t="str">
        <f>IF(L8&lt;119000,"NO GENERA COBRO",L8)</f>
        <v/>
      </c>
      <c r="L8">
        <f>IF(J8="","",IF(J8=0,0,(J8*$J$2+J8*$K$2*$J$3)/$L$2*$L$3)*1.19/10)</f>
        <v>0</v>
      </c>
    </row>
    <row r="9">
      <c r="B9" t="str">
        <f>IF($B$2="","",$B$2)</f>
        <v/>
      </c>
      <c r="J9">
        <f>IF(H9="","",IF(I9="","",IF(I9-(H9*$I$2/100)&lt;1,0,I9-(H9*$I$2/100))))</f>
        <v>0</v>
      </c>
      <c r="K9" t="str">
        <f>IF(L9&lt;119000,"NO GENERA COBRO",L9)</f>
        <v/>
      </c>
      <c r="L9">
        <f>IF(J9="","",IF(J9=0,0,(J9*$J$2+J9*$K$2*$J$3)/$L$2*$L$3)*1.19/10)</f>
        <v>0</v>
      </c>
    </row>
    <row r="10">
      <c r="B10" t="str">
        <f>IF($B$2="","",$B$2)</f>
        <v/>
      </c>
      <c r="J10">
        <f>IF(H10="","",IF(I10="","",IF(I10-(H10*$I$2/100)&lt;1,0,I10-(H10*$I$2/100))))</f>
        <v>0</v>
      </c>
      <c r="K10" t="str">
        <f>IF(L10&lt;119000,"NO GENERA COBRO",L10)</f>
        <v/>
      </c>
      <c r="L10">
        <f>IF(J10="","",IF(J10=0,0,(J10*$J$2+J10*$K$2*$J$3)/$L$2*$L$3)*1.19/10)</f>
        <v>0</v>
      </c>
    </row>
    <row r="11">
      <c r="B11" t="str">
        <f>IF($B$2="","",$B$2)</f>
        <v/>
      </c>
      <c r="J11">
        <f>IF(H11="","",IF(I11="","",IF(I11-(H11*$I$2/100)&lt;1,0,I11-(H11*$I$2/100))))</f>
        <v>0</v>
      </c>
      <c r="K11">
        <f>IF(L11&lt;119000,"NO GENERA COBRO",L11)</f>
        <v>0</v>
      </c>
      <c r="L11">
        <f>IF(J11="","",IF(J11=0,0,(J11*$J$2+J11*$K$2*$J$3)/$L$2*$L$3)*1.19/10)</f>
        <v>0</v>
      </c>
    </row>
    <row r="12">
      <c r="B12" t="str">
        <f>IF($B$2="","",$B$2)</f>
        <v/>
      </c>
      <c r="J12">
        <f>IF(H12="","",IF(I12="","",IF(I12-(H12*$I$2/100)&lt;1,0,I12-(H12*$I$2/100))))</f>
        <v>0</v>
      </c>
      <c r="K12">
        <f>IF(L12&lt;119000,"NO GENERA COBRO",L12)</f>
        <v>0</v>
      </c>
      <c r="L12">
        <f>IF(J12="","",IF(J12=0,0,(J12*$J$2+J12*$K$2*$J$3)/$L$2*$L$3)*1.19/10)</f>
        <v>0</v>
      </c>
    </row>
    <row r="13">
      <c r="B13" t="str">
        <f>IF($B$2="","",$B$2)</f>
        <v/>
      </c>
      <c r="G13" t="str">
        <f>IF(F13="","",VLOOKUP(F13,Datos_Bancos_Listado_Nit,2,0))</f>
        <v/>
      </c>
      <c r="J13" t="str">
        <f>IF(H13="","",IF(I13="","",IF(I13-(H13*$I$2/100)&lt;1,0,I13-(H13*$I$2/100))))</f>
        <v/>
      </c>
      <c r="K13" t="str">
        <f>IF(L13&lt;119000,"NO GENERA COBRO",L13)</f>
        <v/>
      </c>
      <c r="L13" t="str">
        <f>IF(J13="","",IF(J13=0,0,(J13*$J$2+J13*$K$2*$J$3)/$L$2*$L$3)*1.19/10)</f>
        <v/>
      </c>
    </row>
    <row r="14">
      <c r="B14" t="str">
        <f>IF($B$2="","",$B$2)</f>
        <v/>
      </c>
      <c r="G14" t="str">
        <f>IF(F14="","",VLOOKUP(F14,Datos_Bancos_Listado_Nit,2,0))</f>
        <v/>
      </c>
      <c r="J14" t="str">
        <f>IF(H14="","",IF(I14="","",IF(I14-(H14*$I$2/100)&lt;1,0,I14-(H14*$I$2/100))))</f>
        <v/>
      </c>
      <c r="K14" t="str">
        <f>IF(L14&lt;119000,"NO GENERA COBRO",L14)</f>
        <v/>
      </c>
      <c r="L14" t="str">
        <f>IF(J14="","",IF(J14=0,0,(J14*$J$2+J14*$K$2*$J$3)/$L$2*$L$3)*1.19/10)</f>
        <v/>
      </c>
    </row>
    <row r="15">
      <c r="B15" t="str">
        <f>IF($B$2="","",$B$2)</f>
        <v/>
      </c>
      <c r="G15" t="str">
        <f>IF(F15="","",VLOOKUP(F15,Datos_Bancos_Listado_Nit,2,0))</f>
        <v/>
      </c>
      <c r="J15" t="str">
        <f>IF(H15="","",IF(I15="","",IF(I15-(H15*$I$2/100)&lt;1,0,I15-(H15*$I$2/100))))</f>
        <v/>
      </c>
      <c r="K15" t="str">
        <f>IF(L15&lt;119000,"NO GENERA COBRO",L15)</f>
        <v/>
      </c>
      <c r="L15" t="str">
        <f>IF(J15="","",IF(J15=0,0,(J15*$J$2+J15*$K$2*$J$3)/$L$2*$L$3)*1.19/10)</f>
        <v/>
      </c>
    </row>
    <row r="16">
      <c r="B16" t="str">
        <f>IF($B$2="","",$B$2)</f>
        <v/>
      </c>
      <c r="G16" t="str">
        <f>IF(F16="","",VLOOKUP(F16,Datos_Bancos_Listado_Nit,2,0))</f>
        <v/>
      </c>
      <c r="J16" t="str">
        <f>IF(H16="","",IF(I16="","",IF(I16-(H16*$I$2/100)&lt;1,0,I16-(H16*$I$2/100))))</f>
        <v/>
      </c>
      <c r="K16" t="str">
        <f>IF(L16&lt;119000,"NO GENERA COBRO",L16)</f>
        <v/>
      </c>
      <c r="L16" t="str">
        <f>IF(J16="","",IF(J16=0,0,(J16*$J$2+J16*$K$2*$J$3)/$L$2*$L$3)*1.19/10)</f>
        <v/>
      </c>
    </row>
    <row r="17">
      <c r="B17" t="str">
        <f>IF($B$2="","",$B$2)</f>
        <v/>
      </c>
      <c r="G17" t="str">
        <f>IF(F17="","",VLOOKUP(F17,Datos_Bancos_Listado_Nit,2,0))</f>
        <v/>
      </c>
      <c r="J17" t="str">
        <f>IF(H17="","",IF(I17="","",IF(I17-(H17*$I$2/100)&lt;1,0,I17-(H17*$I$2/100))))</f>
        <v/>
      </c>
      <c r="K17" t="str">
        <f>IF(L17&lt;119000,"NO GENERA COBRO",L17)</f>
        <v/>
      </c>
      <c r="L17" t="str">
        <f>IF(J17="","",IF(J17=0,0,(J17*$J$2+J17*$K$2*$J$3)/$L$2*$L$3)*1.19/10)</f>
        <v/>
      </c>
    </row>
    <row r="18">
      <c r="B18" t="str">
        <f>IF($B$2="","",$B$2)</f>
        <v/>
      </c>
      <c r="G18" t="str">
        <f>IF(F18="","",VLOOKUP(F18,Datos_Bancos_Listado_Nit,2,0))</f>
        <v/>
      </c>
      <c r="J18" t="str">
        <f>IF(H18="","",IF(I18="","",IF(I18-(H18*$I$2/100)&lt;1,0,I18-(H18*$I$2/100))))</f>
        <v/>
      </c>
      <c r="K18" t="str">
        <f>IF(L18&lt;119000,"NO GENERA COBRO",L18)</f>
        <v/>
      </c>
      <c r="L18" t="str">
        <f>IF(J18="","",IF(J18=0,0,(J18*$J$2+J18*$K$2*$J$3)/$L$2*$L$3)*1.19/10)</f>
        <v/>
      </c>
    </row>
    <row r="19">
      <c r="B19" t="str">
        <f>IF($B$2="","",$B$2)</f>
        <v/>
      </c>
      <c r="G19" t="str">
        <f>IF(F19="","",VLOOKUP(F19,Datos_Bancos_Listado_Nit,2,0))</f>
        <v/>
      </c>
      <c r="J19" t="str">
        <f>IF(H19="","",IF(I19="","",IF(I19-(H19*$I$2/100)&lt;1,0,I19-(H19*$I$2/100))))</f>
        <v/>
      </c>
      <c r="K19" t="str">
        <f>IF(L19&lt;119000,"NO GENERA COBRO",L19)</f>
        <v/>
      </c>
      <c r="L19" t="str">
        <f>IF(J19="","",IF(J19=0,0,(J19*$J$2+J19*$K$2*$J$3)/$L$2*$L$3)*1.19/10)</f>
        <v/>
      </c>
    </row>
    <row r="20">
      <c r="B20" t="str">
        <f>IF($B$2="","",$B$2)</f>
        <v/>
      </c>
      <c r="G20" t="str">
        <f>IF(F20="","",VLOOKUP(F20,Datos_Bancos_Listado_Nit,2,0))</f>
        <v/>
      </c>
      <c r="J20" t="str">
        <f>IF(H20="","",IF(I20="","",IF(I20-(H20*$I$2/100)&lt;1,0,I20-(H20*$I$2/100))))</f>
        <v/>
      </c>
      <c r="K20" t="str">
        <f>IF(L20&lt;119000,"NO GENERA COBRO",L20)</f>
        <v/>
      </c>
      <c r="L20" t="str">
        <f>IF(J20="","",IF(J20=0,0,(J20*$J$2+J20*$K$2*$J$3)/$L$2*$L$3)*1.19/10)</f>
        <v/>
      </c>
    </row>
    <row r="21">
      <c r="B21" t="str">
        <f>IF($B$2="","",$B$2)</f>
        <v/>
      </c>
      <c r="G21" t="str">
        <f>IF(F21="","",VLOOKUP(F21,Datos_Bancos_Listado_Nit,2,0))</f>
        <v/>
      </c>
      <c r="J21" t="str">
        <f>IF(H21="","",IF(I21="","",IF(I21-(H21*$I$2/100)&lt;1,0,I21-(H21*$I$2/100))))</f>
        <v/>
      </c>
      <c r="K21" t="str">
        <f>IF(L21&lt;119000,"NO GENERA COBRO",L21)</f>
        <v/>
      </c>
      <c r="L21" t="str">
        <f>IF(J21="","",IF(J21=0,0,(J21*$J$2+J21*$K$2*$J$3)/$L$2*$L$3)*1.19/10)</f>
        <v/>
      </c>
    </row>
    <row r="22">
      <c r="B22" t="str">
        <f>IF($B$2="","",$B$2)</f>
        <v/>
      </c>
      <c r="G22" t="str">
        <f>IF(F22="","",VLOOKUP(F22,Datos_Bancos_Listado_Nit,2,0))</f>
        <v/>
      </c>
      <c r="J22" t="str">
        <f>IF(H22="","",IF(I22="","",IF(I22-(H22*$I$2/100)&lt;1,0,I22-(H22*$I$2/100))))</f>
        <v/>
      </c>
      <c r="K22" t="str">
        <f>IF(L22&lt;119000,"NO GENERA COBRO",L22)</f>
        <v/>
      </c>
      <c r="L22" t="str">
        <f>IF(J22="","",IF(J22=0,0,(J22*$J$2+J22*$K$2*$J$3)/$L$2*$L$3)*1.19/10)</f>
        <v/>
      </c>
    </row>
    <row r="23">
      <c r="B23" t="str">
        <f>IF($B$2="","",$B$2)</f>
        <v/>
      </c>
      <c r="G23" t="str">
        <f>IF(F23="","",VLOOKUP(F23,Datos_Bancos_Listado_Nit,2,0))</f>
        <v/>
      </c>
      <c r="J23" t="str">
        <f>IF(H23="","",IF(I23="","",IF(I23-(H23*$I$2/100)&lt;1,0,I23-(H23*$I$2/100))))</f>
        <v/>
      </c>
      <c r="K23" t="str">
        <f>IF(L23&lt;119000,"NO GENERA COBRO",L23)</f>
        <v/>
      </c>
      <c r="L23" t="str">
        <f>IF(J23="","",IF(J23=0,0,(J23*$J$2+J23*$K$2*$J$3)/$L$2*$L$3)*1.19/10)</f>
        <v/>
      </c>
    </row>
    <row r="24">
      <c r="B24" t="str">
        <f>IF($B$2="","",$B$2)</f>
        <v/>
      </c>
      <c r="G24" t="str">
        <f>IF(F24="","",VLOOKUP(F24,Datos_Bancos_Listado_Nit,2,0))</f>
        <v/>
      </c>
      <c r="J24" t="str">
        <f>IF(H24="","",IF(I24="","",IF(I24-(H24*$I$2/100)&lt;1,0,I24-(H24*$I$2/100))))</f>
        <v/>
      </c>
      <c r="K24" t="str">
        <f>IF(L24&lt;119000,"NO GENERA COBRO",L24)</f>
        <v/>
      </c>
      <c r="L24" t="str">
        <f>IF(J24="","",IF(J24=0,0,(J24*$J$2+J24*$K$2*$J$3)/$L$2*$L$3)*1.19/10)</f>
        <v/>
      </c>
    </row>
    <row r="25">
      <c r="B25" t="str">
        <f>IF($B$2="","",$B$2)</f>
        <v/>
      </c>
      <c r="G25" t="str">
        <f>IF(F25="","",VLOOKUP(F25,Datos_Bancos_Listado_Nit,2,0))</f>
        <v/>
      </c>
      <c r="J25" t="str">
        <f>IF(H25="","",IF(I25="","",IF(I25-(H25*$I$2/100)&lt;1,0,I25-(H25*$I$2/100))))</f>
        <v/>
      </c>
      <c r="K25" t="str">
        <f>IF(L25&lt;119000,"NO GENERA COBRO",L25)</f>
        <v/>
      </c>
      <c r="L25" t="str">
        <f>IF(J25="","",IF(J25=0,0,(J25*$J$2+J25*$K$2*$J$3)/$L$2*$L$3)*1.19/10)</f>
        <v/>
      </c>
    </row>
    <row r="26">
      <c r="B26" t="str">
        <f>IF($B$2="","",$B$2)</f>
        <v/>
      </c>
      <c r="G26" t="str">
        <f>IF(F26="","",VLOOKUP(F26,Datos_Bancos_Listado_Nit,2,0))</f>
        <v/>
      </c>
      <c r="J26" t="str">
        <f>IF(H26="","",IF(I26="","",IF(I26-(H26*$I$2/100)&lt;1,0,I26-(H26*$I$2/100))))</f>
        <v/>
      </c>
      <c r="K26" t="str">
        <f>IF(L26&lt;119000,"NO GENERA COBRO",L26)</f>
        <v/>
      </c>
      <c r="L26" t="str">
        <f>IF(J26="","",IF(J26=0,0,(J26*$J$2+J26*$K$2*$J$3)/$L$2*$L$3)*1.19/10)</f>
        <v/>
      </c>
    </row>
    <row r="27">
      <c r="B27" t="str">
        <f>IF($B$2="","",$B$2)</f>
        <v/>
      </c>
      <c r="G27" t="str">
        <f>IF(F27="","",VLOOKUP(F27,Datos_Bancos_Listado_Nit,2,0))</f>
        <v/>
      </c>
      <c r="J27" t="str">
        <f>IF(H27="","",IF(I27="","",IF(I27-(H27*$I$2/100)&lt;1,0,I27-(H27*$I$2/100))))</f>
        <v/>
      </c>
      <c r="K27" t="str">
        <f>IF(L27&lt;119000,"NO GENERA COBRO",L27)</f>
        <v/>
      </c>
      <c r="L27" t="str">
        <f>IF(J27="","",IF(J27=0,0,(J27*$J$2+J27*$K$2*$J$3)/$L$2*$L$3)*1.19/10)</f>
        <v/>
      </c>
    </row>
    <row r="28">
      <c r="B28" t="str">
        <f>IF($B$2="","",$B$2)</f>
        <v/>
      </c>
      <c r="G28" t="str">
        <f>IF(F28="","",VLOOKUP(F28,Datos_Bancos_Listado_Nit,2,0))</f>
        <v/>
      </c>
      <c r="J28" t="str">
        <f>IF(H28="","",IF(I28="","",IF(I28-(H28*$I$2/100)&lt;1,0,I28-(H28*$I$2/100))))</f>
        <v/>
      </c>
      <c r="K28" t="str">
        <f>IF(L28&lt;119000,"NO GENERA COBRO",L28)</f>
        <v/>
      </c>
      <c r="L28" t="str">
        <f>IF(J28="","",IF(J28=0,0,(J28*$J$2+J28*$K$2*$J$3)/$L$2*$L$3)*1.19/10)</f>
        <v/>
      </c>
    </row>
    <row r="29">
      <c r="B29" t="str">
        <f>IF($B$2="","",$B$2)</f>
        <v/>
      </c>
      <c r="G29" t="str">
        <f>IF(F29="","",VLOOKUP(F29,Datos_Bancos_Listado_Nit,2,0))</f>
        <v/>
      </c>
      <c r="J29" t="str">
        <f>IF(H29="","",IF(I29="","",IF(I29-(H29*$I$2/100)&lt;1,0,I29-(H29*$I$2/100))))</f>
        <v/>
      </c>
      <c r="K29" t="str">
        <f>IF(L29&lt;119000,"NO GENERA COBRO",L29)</f>
        <v/>
      </c>
      <c r="L29" t="str">
        <f>IF(J29="","",IF(J29=0,0,(J29*$J$2+J29*$K$2*$J$3)/$L$2*$L$3)*1.19/10)</f>
        <v/>
      </c>
    </row>
    <row r="30">
      <c r="B30" t="str">
        <f>IF($B$2="","",$B$2)</f>
        <v/>
      </c>
      <c r="G30" t="str">
        <f>IF(F30="","",VLOOKUP(F30,Datos_Bancos_Listado_Nit,2,0))</f>
        <v/>
      </c>
      <c r="J30" t="str">
        <f>IF(H30="","",IF(I30="","",IF(I30-(H30*$I$2/100)&lt;1,0,I30-(H30*$I$2/100))))</f>
        <v/>
      </c>
      <c r="K30" t="str">
        <f>IF(L30&lt;119000,"NO GENERA COBRO",L30)</f>
        <v/>
      </c>
      <c r="L30" t="str">
        <f>IF(J30="","",IF(J30=0,0,(J30*$J$2+J30*$K$2*$J$3)/$L$2*$L$3)*1.19/10)</f>
        <v/>
      </c>
    </row>
    <row r="31">
      <c r="B31" t="str">
        <f>IF($B$2="","",$B$2)</f>
        <v/>
      </c>
      <c r="G31" t="str">
        <f>IF(F31="","",VLOOKUP(F31,Datos_Bancos_Listado_Nit,2,0))</f>
        <v/>
      </c>
      <c r="J31" t="str">
        <f>IF(H31="","",IF(I31="","",IF(I31-(H31*$I$2/100)&lt;1,0,I31-(H31*$I$2/100))))</f>
        <v/>
      </c>
      <c r="K31" t="str">
        <f>IF(L31&lt;119000,"NO GENERA COBRO",L31)</f>
        <v/>
      </c>
      <c r="L31" t="str">
        <f>IF(J31="","",IF(J31=0,0,(J31*$J$2+J31*$K$2*$J$3)/$L$2*$L$3)*1.19/10)</f>
        <v/>
      </c>
    </row>
    <row r="32">
      <c r="B32" t="str">
        <f>IF($B$2="","",$B$2)</f>
        <v/>
      </c>
      <c r="G32" t="str">
        <f>IF(F32="","",VLOOKUP(F32,Datos_Bancos_Listado_Nit,2,0))</f>
        <v/>
      </c>
      <c r="J32" t="str">
        <f>IF(H32="","",IF(I32="","",IF(I32-(H32*$I$2/100)&lt;1,0,I32-(H32*$I$2/100))))</f>
        <v/>
      </c>
      <c r="K32" t="str">
        <f>IF(L32&lt;119000,"NO GENERA COBRO",L32)</f>
        <v/>
      </c>
      <c r="L32" t="str">
        <f>IF(J32="","",IF(J32=0,0,(J32*$J$2+J32*$K$2*$J$3)/$L$2*$L$3)*1.19/10)</f>
        <v/>
      </c>
    </row>
    <row r="33">
      <c r="B33" t="str">
        <f>IF($B$2="","",$B$2)</f>
        <v/>
      </c>
      <c r="G33" t="str">
        <f>IF(F33="","",VLOOKUP(F33,Datos_Bancos_Listado_Nit,2,0))</f>
        <v/>
      </c>
      <c r="J33" t="str">
        <f>IF(H33="","",IF(I33="","",IF(I33-(H33*$I$2/100)&lt;1,0,I33-(H33*$I$2/100))))</f>
        <v/>
      </c>
      <c r="K33" t="str">
        <f>IF(L33&lt;119000,"NO GENERA COBRO",L33)</f>
        <v/>
      </c>
      <c r="L33" t="str">
        <f>IF(J33="","",IF(J33=0,0,(J33*$J$2+J33*$K$2*$J$3)/$L$2*$L$3)*1.19/10)</f>
        <v/>
      </c>
    </row>
    <row r="34">
      <c r="B34" t="str">
        <f>IF($B$2="","",$B$2)</f>
        <v/>
      </c>
      <c r="G34" t="str">
        <f>IF(F34="","",VLOOKUP(F34,Datos_Bancos_Listado_Nit,2,0))</f>
        <v/>
      </c>
      <c r="J34" t="str">
        <f>IF(H34="","",IF(I34="","",IF(I34-(H34*$I$2/100)&lt;1,0,I34-(H34*$I$2/100))))</f>
        <v/>
      </c>
      <c r="K34" t="str">
        <f>IF(L34&lt;119000,"NO GENERA COBRO",L34)</f>
        <v/>
      </c>
      <c r="L34" t="str">
        <f>IF(J34="","",IF(J34=0,0,(J34*$J$2+J34*$K$2*$J$3)/$L$2*$L$3)*1.19/10)</f>
        <v/>
      </c>
    </row>
    <row r="35">
      <c r="B35" t="str">
        <f>IF($B$2="","",$B$2)</f>
        <v/>
      </c>
      <c r="G35" t="str">
        <f>IF(F35="","",VLOOKUP(F35,Datos_Bancos_Listado_Nit,2,0))</f>
        <v/>
      </c>
      <c r="J35" t="str">
        <f>IF(H35="","",IF(I35="","",IF(I35-(H35*$I$2/100)&lt;1,0,I35-(H35*$I$2/100))))</f>
        <v/>
      </c>
      <c r="K35" t="str">
        <f>IF(L35&lt;119000,"NO GENERA COBRO",L35)</f>
        <v/>
      </c>
      <c r="L35" t="str">
        <f>IF(J35="","",IF(J35=0,0,(J35*$J$2+J35*$K$2*$J$3)/$L$2*$L$3)*1.19/10)</f>
        <v/>
      </c>
    </row>
    <row r="36">
      <c r="B36" t="str">
        <f>IF($B$2="","",$B$2)</f>
        <v/>
      </c>
      <c r="G36" t="str">
        <f>IF(F36="","",VLOOKUP(F36,Datos_Bancos_Listado_Nit,2,0))</f>
        <v/>
      </c>
      <c r="J36" t="str">
        <f>IF(H36="","",IF(I36="","",IF(I36-(H36*$I$2/100)&lt;1,0,I36-(H36*$I$2/100))))</f>
        <v/>
      </c>
      <c r="K36" t="str">
        <f>IF(L36&lt;119000,"NO GENERA COBRO",L36)</f>
        <v/>
      </c>
      <c r="L36" t="str">
        <f>IF(J36="","",IF(J36=0,0,(J36*$J$2+J36*$K$2*$J$3)/$L$2*$L$3)*1.19/10)</f>
        <v/>
      </c>
    </row>
    <row r="37">
      <c r="B37" t="str">
        <f>IF($B$2="","",$B$2)</f>
        <v/>
      </c>
      <c r="G37" t="str">
        <f>IF(F37="","",VLOOKUP(F37,Datos_Bancos_Listado_Nit,2,0))</f>
        <v/>
      </c>
      <c r="J37" t="str">
        <f>IF(H37="","",IF(I37="","",IF(I37-(H37*$I$2/100)&lt;1,0,I37-(H37*$I$2/100))))</f>
        <v/>
      </c>
      <c r="K37" t="str">
        <f>IF(L37&lt;119000,"NO GENERA COBRO",L37)</f>
        <v/>
      </c>
      <c r="L37" t="str">
        <f>IF(J37="","",IF(J37=0,0,(J37*$J$2+J37*$K$2*$J$3)/$L$2*$L$3)*1.19/10)</f>
        <v/>
      </c>
    </row>
    <row r="38">
      <c r="B38" t="str">
        <f>IF($B$2="","",$B$2)</f>
        <v/>
      </c>
      <c r="G38" t="str">
        <f>IF(F38="","",VLOOKUP(F38,Datos_Bancos_Listado_Nit,2,0))</f>
        <v/>
      </c>
      <c r="J38" t="str">
        <f>IF(H38="","",IF(I38="","",IF(I38-(H38*$I$2/100)&lt;1,0,I38-(H38*$I$2/100))))</f>
        <v/>
      </c>
      <c r="K38" t="str">
        <f>IF(L38&lt;119000,"NO GENERA COBRO",L38)</f>
        <v/>
      </c>
      <c r="L38" t="str">
        <f>IF(J38="","",IF(J38=0,0,(J38*$J$2+J38*$K$2*$J$3)/$L$2*$L$3)*1.19/10)</f>
        <v/>
      </c>
    </row>
    <row r="39">
      <c r="B39" t="str">
        <f>IF($B$2="","",$B$2)</f>
        <v/>
      </c>
      <c r="G39" t="str">
        <f>IF(F39="","",VLOOKUP(F39,Datos_Bancos_Listado_Nit,2,0))</f>
        <v/>
      </c>
      <c r="J39" t="str">
        <f>IF(H39="","",IF(I39="","",IF(I39-(H39*$I$2/100)&lt;1,0,I39-(H39*$I$2/100))))</f>
        <v/>
      </c>
      <c r="K39" t="str">
        <f>IF(L39&lt;119000,"NO GENERA COBRO",L39)</f>
        <v/>
      </c>
      <c r="L39" t="str">
        <f>IF(J39="","",IF(J39=0,0,(J39*$J$2+J39*$K$2*$J$3)/$L$2*$L$3)*1.19/10)</f>
        <v/>
      </c>
    </row>
    <row r="40">
      <c r="B40" t="str">
        <f>IF($B$2="","",$B$2)</f>
        <v/>
      </c>
      <c r="G40" t="str">
        <f>IF(F40="","",VLOOKUP(F40,Datos_Bancos_Listado_Nit,2,0))</f>
        <v/>
      </c>
      <c r="J40" t="str">
        <f>IF(H40="","",IF(I40="","",IF(I40-(H40*$I$2/100)&lt;1,0,I40-(H40*$I$2/100))))</f>
        <v/>
      </c>
      <c r="K40" t="str">
        <f>IF(L40&lt;119000,"NO GENERA COBRO",L40)</f>
        <v/>
      </c>
      <c r="L40" t="str">
        <f>IF(J40="","",IF(J40=0,0,(J40*$J$2+J40*$K$2*$J$3)/$L$2*$L$3)*1.19/10)</f>
        <v/>
      </c>
    </row>
    <row r="41">
      <c r="B41" t="str">
        <f>IF($B$2="","",$B$2)</f>
        <v/>
      </c>
      <c r="G41" t="str">
        <f>IF(F41="","",VLOOKUP(F41,Datos_Bancos_Listado_Nit,2,0))</f>
        <v/>
      </c>
      <c r="J41" t="str">
        <f>IF(H41="","",IF(I41="","",IF(I41-(H41*$I$2/100)&lt;1,0,I41-(H41*$I$2/100))))</f>
        <v/>
      </c>
      <c r="K41" t="str">
        <f>IF(L41&lt;119000,"NO GENERA COBRO",L41)</f>
        <v/>
      </c>
      <c r="L41" t="str">
        <f>IF(J41="","",IF(J41=0,0,(J41*$J$2+J41*$K$2*$J$3)/$L$2*$L$3)*1.19/10)</f>
        <v/>
      </c>
    </row>
    <row r="42">
      <c r="B42" t="str">
        <f>IF($B$2="","",$B$2)</f>
        <v/>
      </c>
      <c r="G42" t="str">
        <f>IF(F42="","",VLOOKUP(F42,Datos_Bancos_Listado_Nit,2,0))</f>
        <v/>
      </c>
      <c r="J42" t="str">
        <f>IF(H42="","",IF(I42="","",IF(I42-(H42*$I$2/100)&lt;1,0,I42-(H42*$I$2/100))))</f>
        <v/>
      </c>
      <c r="K42" t="str">
        <f>IF(L42&lt;119000,"NO GENERA COBRO",L42)</f>
        <v/>
      </c>
      <c r="L42" t="str">
        <f>IF(J42="","",IF(J42=0,0,(J42*$J$2+J42*$K$2*$J$3)/$L$2*$L$3)*1.19/10)</f>
        <v/>
      </c>
    </row>
    <row r="43">
      <c r="B43" t="str">
        <f>IF($B$2="","",$B$2)</f>
        <v/>
      </c>
      <c r="G43" t="str">
        <f>IF(F43="","",VLOOKUP(F43,Datos_Bancos_Listado_Nit,2,0))</f>
        <v/>
      </c>
      <c r="J43" t="str">
        <f>IF(H43="","",IF(I43="","",IF(I43-(H43*$I$2/100)&lt;1,0,I43-(H43*$I$2/100))))</f>
        <v/>
      </c>
      <c r="K43" t="str">
        <f>IF(L43&lt;119000,"NO GENERA COBRO",L43)</f>
        <v/>
      </c>
      <c r="L43" t="str">
        <f>IF(J43="","",IF(J43=0,0,(J43*$J$2+J43*$K$2*$J$3)/$L$2*$L$3)*1.19/10)</f>
        <v/>
      </c>
    </row>
    <row r="44">
      <c r="B44" t="str">
        <f>IF($B$2="","",$B$2)</f>
        <v/>
      </c>
      <c r="G44" t="str">
        <f>IF(F44="","",VLOOKUP(F44,Datos_Bancos_Listado_Nit,2,0))</f>
        <v/>
      </c>
      <c r="J44" t="str">
        <f>IF(H44="","",IF(I44="","",IF(I44-(H44*$I$2/100)&lt;1,0,I44-(H44*$I$2/100))))</f>
        <v/>
      </c>
      <c r="K44" t="str">
        <f>IF(L44&lt;119000,"NO GENERA COBRO",L44)</f>
        <v/>
      </c>
      <c r="L44" t="str">
        <f>IF(J44="","",IF(J44=0,0,(J44*$J$2+J44*$K$2*$J$3)/$L$2*$L$3)*1.19/10)</f>
        <v/>
      </c>
    </row>
    <row r="45">
      <c r="B45" t="str">
        <f>IF($B$2="","",$B$2)</f>
        <v/>
      </c>
      <c r="G45" t="str">
        <f>IF(F45="","",VLOOKUP(F45,Datos_Bancos_Listado_Nit,2,0))</f>
        <v/>
      </c>
      <c r="J45" t="str">
        <f>IF(H45="","",IF(I45="","",IF(I45-(H45*$I$2/100)&lt;1,0,I45-(H45*$I$2/100))))</f>
        <v/>
      </c>
      <c r="K45" t="str">
        <f>IF(L45&lt;119000,"NO GENERA COBRO",L45)</f>
        <v/>
      </c>
      <c r="L45" t="str">
        <f>IF(J45="","",IF(J45=0,0,(J45*$J$2+J45*$K$2*$J$3)/$L$2*$L$3)*1.19/10)</f>
        <v/>
      </c>
    </row>
    <row r="46">
      <c r="B46" t="str">
        <f>IF($B$2="","",$B$2)</f>
        <v/>
      </c>
      <c r="G46" t="str">
        <f>IF(F46="","",VLOOKUP(F46,Datos_Bancos_Listado_Nit,2,0))</f>
        <v/>
      </c>
      <c r="J46" t="str">
        <f>IF(H46="","",IF(I46="","",IF(I46-(H46*$I$2/100)&lt;1,0,I46-(H46*$I$2/100))))</f>
        <v/>
      </c>
      <c r="K46" t="str">
        <f>IF(L46&lt;119000,"NO GENERA COBRO",L46)</f>
        <v/>
      </c>
      <c r="L46" t="str">
        <f>IF(J46="","",IF(J46=0,0,(J46*$J$2+J46*$K$2*$J$3)/$L$2*$L$3)*1.19/10)</f>
        <v/>
      </c>
    </row>
    <row r="47">
      <c r="B47" t="str">
        <f>IF($B$2="","",$B$2)</f>
        <v/>
      </c>
      <c r="G47" t="str">
        <f>IF(F47="","",VLOOKUP(F47,Datos_Bancos_Listado_Nit,2,0))</f>
        <v/>
      </c>
      <c r="J47" t="str">
        <f>IF(H47="","",IF(I47="","",IF(I47-(H47*$I$2/100)&lt;1,0,I47-(H47*$I$2/100))))</f>
        <v/>
      </c>
      <c r="K47" t="str">
        <f>IF(L47&lt;119000,"NO GENERA COBRO",L47)</f>
        <v/>
      </c>
      <c r="L47" t="str">
        <f>IF(J47="","",IF(J47=0,0,(J47*$J$2+J47*$K$2*$J$3)/$L$2*$L$3)*1.19/10)</f>
        <v/>
      </c>
    </row>
    <row r="48">
      <c r="B48" t="str">
        <f>IF($B$2="","",$B$2)</f>
        <v/>
      </c>
      <c r="G48" t="str">
        <f>IF(F48="","",VLOOKUP(F48,Datos_Bancos_Listado_Nit,2,0))</f>
        <v/>
      </c>
      <c r="J48" t="str">
        <f>IF(H48="","",IF(I48="","",IF(I48-(H48*$I$2/100)&lt;1,0,I48-(H48*$I$2/100))))</f>
        <v/>
      </c>
      <c r="K48" t="str">
        <f>IF(L48&lt;119000,"NO GENERA COBRO",L48)</f>
        <v/>
      </c>
      <c r="L48" t="str">
        <f>IF(J48="","",IF(J48=0,0,(J48*$J$2+J48*$K$2*$J$3)/$L$2*$L$3)*1.19/10)</f>
        <v/>
      </c>
    </row>
    <row r="49">
      <c r="B49" t="str">
        <f>IF($B$2="","",$B$2)</f>
        <v/>
      </c>
      <c r="G49" t="str">
        <f>IF(F49="","",VLOOKUP(F49,Datos_Bancos_Listado_Nit,2,0))</f>
        <v/>
      </c>
      <c r="J49" t="str">
        <f>IF(H49="","",IF(I49="","",IF(I49-(H49*$I$2/100)&lt;1,0,I49-(H49*$I$2/100))))</f>
        <v/>
      </c>
      <c r="K49" t="str">
        <f>IF(L49&lt;119000,"NO GENERA COBRO",L49)</f>
        <v/>
      </c>
      <c r="L49" t="str">
        <f>IF(J49="","",IF(J49=0,0,(J49*$J$2+J49*$K$2*$J$3)/$L$2*$L$3)*1.19/10)</f>
        <v/>
      </c>
    </row>
    <row r="50">
      <c r="B50" t="str">
        <f>IF($B$2="","",$B$2)</f>
        <v/>
      </c>
      <c r="G50" t="str">
        <f>IF(F50="","",VLOOKUP(F50,Datos_Bancos_Listado_Nit,2,0))</f>
        <v/>
      </c>
      <c r="J50" t="str">
        <f>IF(H50="","",IF(I50="","",IF(I50-(H50*$I$2/100)&lt;1,0,I50-(H50*$I$2/100))))</f>
        <v/>
      </c>
      <c r="K50" t="str">
        <f>IF(L50&lt;119000,"NO GENERA COBRO",L50)</f>
        <v/>
      </c>
      <c r="L50" t="str">
        <f>IF(J50="","",IF(J50=0,0,(J50*$J$2+J50*$K$2*$J$3)/$L$2*$L$3)*1.19/10)</f>
        <v/>
      </c>
    </row>
    <row r="51">
      <c r="B51" t="str">
        <f>IF($B$2="","",$B$2)</f>
        <v/>
      </c>
      <c r="G51" t="str">
        <f>IF(F51="","",VLOOKUP(F51,Datos_Bancos_Listado_Nit,2,0))</f>
        <v/>
      </c>
      <c r="J51" t="str">
        <f>IF(H51="","",IF(I51="","",IF(I51-(H51*$I$2/100)&lt;1,0,I51-(H51*$I$2/100))))</f>
        <v/>
      </c>
      <c r="K51" t="str">
        <f>IF(L51&lt;119000,"NO GENERA COBRO",L51)</f>
        <v/>
      </c>
      <c r="L51" t="str">
        <f>IF(J51="","",IF(J51=0,0,(J51*$J$2+J51*$K$2*$J$3)/$L$2*$L$3)*1.19/10)</f>
        <v/>
      </c>
    </row>
    <row r="52">
      <c r="B52" t="str">
        <f>IF($B$2="","",$B$2)</f>
        <v/>
      </c>
      <c r="G52" t="str">
        <f>IF(F52="","",VLOOKUP(F52,Datos_Bancos_Listado_Nit,2,0))</f>
        <v/>
      </c>
      <c r="J52" t="str">
        <f>IF(H52="","",IF(I52="","",IF(I52-(H52*$I$2/100)&lt;1,0,I52-(H52*$I$2/100))))</f>
        <v/>
      </c>
      <c r="K52" t="str">
        <f>IF(L52&lt;119000,"NO GENERA COBRO",L52)</f>
        <v/>
      </c>
      <c r="L52" t="str">
        <f>IF(J52="","",IF(J52=0,0,(J52*$J$2+J52*$K$2*$J$3)/$L$2*$L$3)*1.19/10)</f>
        <v/>
      </c>
    </row>
    <row r="53">
      <c r="B53" t="str">
        <f>IF($B$2="","",$B$2)</f>
        <v/>
      </c>
      <c r="G53" t="str">
        <f>IF(F53="","",VLOOKUP(F53,Datos_Bancos_Listado_Nit,2,0))</f>
        <v/>
      </c>
      <c r="J53" t="str">
        <f>IF(H53="","",IF(I53="","",IF(I53-(H53*$I$2/100)&lt;1,0,I53-(H53*$I$2/100))))</f>
        <v/>
      </c>
      <c r="K53" t="str">
        <f>IF(L53&lt;119000,"NO GENERA COBRO",L53)</f>
        <v/>
      </c>
      <c r="L53" t="str">
        <f>IF(J53="","",IF(J53=0,0,(J53*$J$2+J53*$K$2*$J$3)/$L$2*$L$3)*1.19/10)</f>
        <v/>
      </c>
    </row>
    <row r="54">
      <c r="B54" t="str">
        <f>IF($B$2="","",$B$2)</f>
        <v/>
      </c>
      <c r="G54" t="str">
        <f>IF(F54="","",VLOOKUP(F54,Datos_Bancos_Listado_Nit,2,0))</f>
        <v/>
      </c>
      <c r="J54" t="str">
        <f>IF(H54="","",IF(I54="","",IF(I54-(H54*$I$2/100)&lt;1,0,I54-(H54*$I$2/100))))</f>
        <v/>
      </c>
      <c r="K54" t="str">
        <f>IF(L54&lt;119000,"NO GENERA COBRO",L54)</f>
        <v/>
      </c>
      <c r="L54" t="str">
        <f>IF(J54="","",IF(J54=0,0,(J54*$J$2+J54*$K$2*$J$3)/$L$2*$L$3)*1.19/10)</f>
        <v/>
      </c>
    </row>
    <row r="55">
      <c r="B55" t="str">
        <f>IF($B$2="","",$B$2)</f>
        <v/>
      </c>
      <c r="G55" t="str">
        <f>IF(F55="","",VLOOKUP(F55,Datos_Bancos_Listado_Nit,2,0))</f>
        <v/>
      </c>
      <c r="J55" t="str">
        <f>IF(H55="","",IF(I55="","",IF(I55-(H55*$I$2/100)&lt;1,0,I55-(H55*$I$2/100))))</f>
        <v/>
      </c>
      <c r="K55" t="str">
        <f>IF(L55&lt;119000,"NO GENERA COBRO",L55)</f>
        <v/>
      </c>
      <c r="L55" t="str">
        <f>IF(J55="","",IF(J55=0,0,(J55*$J$2+J55*$K$2*$J$3)/$L$2*$L$3)*1.19/10)</f>
        <v/>
      </c>
    </row>
    <row r="56">
      <c r="B56" t="str">
        <f>IF($B$2="","",$B$2)</f>
        <v/>
      </c>
      <c r="G56" t="str">
        <f>IF(F56="","",VLOOKUP(F56,Datos_Bancos_Listado_Nit,2,0))</f>
        <v/>
      </c>
      <c r="J56" t="str">
        <f>IF(H56="","",IF(I56="","",IF(I56-(H56*$I$2/100)&lt;1,0,I56-(H56*$I$2/100))))</f>
        <v/>
      </c>
      <c r="K56" t="str">
        <f>IF(L56&lt;119000,"NO GENERA COBRO",L56)</f>
        <v/>
      </c>
      <c r="L56" t="str">
        <f>IF(J56="","",IF(J56=0,0,(J56*$J$2+J56*$K$2*$J$3)/$L$2*$L$3)*1.19/10)</f>
        <v/>
      </c>
    </row>
    <row r="57">
      <c r="B57" t="str">
        <f>IF($B$2="","",$B$2)</f>
        <v/>
      </c>
      <c r="G57" t="str">
        <f>IF(F57="","",VLOOKUP(F57,Datos_Bancos_Listado_Nit,2,0))</f>
        <v/>
      </c>
      <c r="J57" t="str">
        <f>IF(H57="","",IF(I57="","",IF(I57-(H57*$I$2/100)&lt;1,0,I57-(H57*$I$2/100))))</f>
        <v/>
      </c>
      <c r="K57" t="str">
        <f>IF(L57&lt;119000,"NO GENERA COBRO",L57)</f>
        <v/>
      </c>
      <c r="L57" t="str">
        <f>IF(J57="","",IF(J57=0,0,(J57*$J$2+J57*$K$2*$J$3)/$L$2*$L$3)*1.19/10)</f>
        <v/>
      </c>
    </row>
    <row r="58">
      <c r="B58" t="str">
        <f>IF($B$2="","",$B$2)</f>
        <v/>
      </c>
      <c r="G58" t="str">
        <f>IF(F58="","",VLOOKUP(F58,Datos_Bancos_Listado_Nit,2,0))</f>
        <v/>
      </c>
      <c r="J58" t="str">
        <f>IF(H58="","",IF(I58="","",IF(I58-(H58*$I$2/100)&lt;1,0,I58-(H58*$I$2/100))))</f>
        <v/>
      </c>
      <c r="K58" t="str">
        <f>IF(L58&lt;119000,"NO GENERA COBRO",L58)</f>
        <v/>
      </c>
      <c r="L58" t="str">
        <f>IF(J58="","",IF(J58=0,0,(J58*$J$2+J58*$K$2*$J$3)/$L$2*$L$3)*1.19/10)</f>
        <v/>
      </c>
    </row>
    <row r="59">
      <c r="B59" t="str">
        <f>IF($B$2="","",$B$2)</f>
        <v/>
      </c>
      <c r="G59" t="str">
        <f>IF(F59="","",VLOOKUP(F59,Datos_Bancos_Listado_Nit,2,0))</f>
        <v/>
      </c>
      <c r="J59" t="str">
        <f>IF(H59="","",IF(I59="","",IF(I59-(H59*$I$2/100)&lt;1,0,I59-(H59*$I$2/100))))</f>
        <v/>
      </c>
      <c r="K59" t="str">
        <f>IF(L59&lt;119000,"NO GENERA COBRO",L59)</f>
        <v/>
      </c>
      <c r="L59" t="str">
        <f>IF(J59="","",IF(J59=0,0,(J59*$J$2+J59*$K$2*$J$3)/$L$2*$L$3)*1.19/10)</f>
        <v/>
      </c>
    </row>
    <row r="60">
      <c r="B60" t="str">
        <f>IF($B$2="","",$B$2)</f>
        <v/>
      </c>
      <c r="G60" t="str">
        <f>IF(F60="","",VLOOKUP(F60,Datos_Bancos_Listado_Nit,2,0))</f>
        <v/>
      </c>
      <c r="J60" t="str">
        <f>IF(H60="","",IF(I60="","",IF(I60-(H60*$I$2/100)&lt;1,0,I60-(H60*$I$2/100))))</f>
        <v/>
      </c>
      <c r="K60" t="str">
        <f>IF(L60&lt;119000,"NO GENERA COBRO",L60)</f>
        <v/>
      </c>
      <c r="L60" t="str">
        <f>IF(J60="","",IF(J60=0,0,(J60*$J$2+J60*$K$2*$J$3)/$L$2*$L$3)*1.19/10)</f>
        <v/>
      </c>
    </row>
    <row r="61">
      <c r="B61" t="str">
        <f>IF($B$2="","",$B$2)</f>
        <v/>
      </c>
      <c r="G61" t="str">
        <f>IF(F61="","",VLOOKUP(F61,Datos_Bancos_Listado_Nit,2,0))</f>
        <v/>
      </c>
      <c r="J61" t="str">
        <f>IF(H61="","",IF(I61="","",IF(I61-(H61*$I$2/100)&lt;1,0,I61-(H61*$I$2/100))))</f>
        <v/>
      </c>
      <c r="K61" t="str">
        <f>IF(L61&lt;119000,"NO GENERA COBRO",L61)</f>
        <v/>
      </c>
      <c r="L61" t="str">
        <f>IF(J61="","",IF(J61=0,0,(J61*$J$2+J61*$K$2*$J$3)/$L$2*$L$3)*1.19/10)</f>
        <v/>
      </c>
    </row>
    <row r="62">
      <c r="B62" t="str">
        <f>IF($B$2="","",$B$2)</f>
        <v/>
      </c>
      <c r="G62" t="str">
        <f>IF(F62="","",VLOOKUP(F62,Datos_Bancos_Listado_Nit,2,0))</f>
        <v/>
      </c>
      <c r="J62" t="str">
        <f>IF(H62="","",IF(I62="","",IF(I62-(H62*$I$2/100)&lt;1,0,I62-(H62*$I$2/100))))</f>
        <v/>
      </c>
      <c r="K62" t="str">
        <f>IF(L62&lt;119000,"NO GENERA COBRO",L62)</f>
        <v/>
      </c>
      <c r="L62" t="str">
        <f>IF(J62="","",IF(J62=0,0,(J62*$J$2+J62*$K$2*$J$3)/$L$2*$L$3)*1.19/10)</f>
        <v/>
      </c>
    </row>
    <row r="63">
      <c r="B63" t="str">
        <f>IF($B$2="","",$B$2)</f>
        <v/>
      </c>
      <c r="G63" t="str">
        <f>IF(F63="","",VLOOKUP(F63,Datos_Bancos_Listado_Nit,2,0))</f>
        <v/>
      </c>
      <c r="J63" t="str">
        <f>IF(H63="","",IF(I63="","",IF(I63-(H63*$I$2/100)&lt;1,0,I63-(H63*$I$2/100))))</f>
        <v/>
      </c>
      <c r="K63" t="str">
        <f>IF(L63&lt;119000,"NO GENERA COBRO",L63)</f>
        <v/>
      </c>
      <c r="L63" t="str">
        <f>IF(J63="","",IF(J63=0,0,(J63*$J$2+J63*$K$2*$J$3)/$L$2*$L$3)*1.19/10)</f>
        <v/>
      </c>
    </row>
    <row r="64">
      <c r="B64" t="str">
        <f>IF($B$2="","",$B$2)</f>
        <v/>
      </c>
      <c r="G64" t="str">
        <f>IF(F64="","",VLOOKUP(F64,Datos_Bancos_Listado_Nit,2,0))</f>
        <v/>
      </c>
      <c r="J64" t="str">
        <f>IF(H64="","",IF(I64="","",IF(I64-(H64*$I$2/100)&lt;1,0,I64-(H64*$I$2/100))))</f>
        <v/>
      </c>
      <c r="K64" t="str">
        <f>IF(L64&lt;119000,"NO GENERA COBRO",L64)</f>
        <v/>
      </c>
      <c r="L64" t="str">
        <f>IF(J64="","",IF(J64=0,0,(J64*$J$2+J64*$K$2*$J$3)/$L$2*$L$3)*1.19/10)</f>
        <v/>
      </c>
    </row>
    <row r="65">
      <c r="B65" t="str">
        <f>IF($B$2="","",$B$2)</f>
        <v/>
      </c>
      <c r="G65" t="str">
        <f>IF(F65="","",VLOOKUP(F65,Datos_Bancos_Listado_Nit,2,0))</f>
        <v/>
      </c>
      <c r="J65" t="str">
        <f>IF(H65="","",IF(I65="","",IF(I65-(H65*$I$2/100)&lt;1,0,I65-(H65*$I$2/100))))</f>
        <v/>
      </c>
      <c r="K65" t="str">
        <f>IF(L65&lt;119000,"NO GENERA COBRO",L65)</f>
        <v/>
      </c>
      <c r="L65" t="str">
        <f>IF(J65="","",IF(J65=0,0,(J65*$J$2+J65*$K$2*$J$3)/$L$2*$L$3)*1.19/10)</f>
        <v/>
      </c>
    </row>
  </sheetData>
  <autoFilter ref="A5:Z65"/>
  <pageMargins left="0.7" right="0.7" top="0.75" bottom="0.75" header="0.3" footer="0.3"/>
  <ignoredErrors>
    <ignoredError numberStoredAsText="1" sqref="A1:AC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74"/>
  <sheetViews>
    <sheetView workbookViewId="0" rightToLeft="0"/>
  </sheetViews>
  <sheetData>
    <row r="1">
      <c r="A1" t="str">
        <v>N°</v>
      </c>
      <c r="B1" t="str">
        <v>BENEFICIARIO</v>
      </c>
      <c r="C1" t="str">
        <v>NIT BENEFICIARIO</v>
      </c>
      <c r="D1" t="str">
        <f>+B1</f>
        <v>BENEFICIARIO</v>
      </c>
      <c r="E1" t="str">
        <f>+C1</f>
        <v>NIT BENEFICIARIO</v>
      </c>
      <c r="F1" t="str">
        <v>VALIDADO</v>
      </c>
      <c r="G1" t="str">
        <v>ADICIONAL</v>
      </c>
      <c r="H1" t="str">
        <v>CORREO</v>
      </c>
      <c r="I1" t="str">
        <v>TELEFONO</v>
      </c>
    </row>
    <row r="2">
      <c r="A2">
        <v>1</v>
      </c>
      <c r="B2" t="str">
        <v xml:space="preserve"> </v>
      </c>
      <c r="C2">
        <v>0</v>
      </c>
      <c r="D2" t="str">
        <f>+B2</f>
        <v xml:space="preserve"> </v>
      </c>
      <c r="E2">
        <f>+C2</f>
        <v>0</v>
      </c>
      <c r="F2" t="str">
        <v>SI</v>
      </c>
      <c r="G2">
        <f>COUNTIF($C$2:$C$202,C2)</f>
        <v>1</v>
      </c>
    </row>
    <row r="3">
      <c r="A3">
        <v>2</v>
      </c>
      <c r="B3" t="str">
        <v>ADMINISTRADORA DE FONDOS DE PENSIONES Y CESANTIA PROTECCION S.A.</v>
      </c>
      <c r="C3">
        <v>8001381881</v>
      </c>
      <c r="D3" t="str">
        <f>+B3</f>
        <v>ADMINISTRADORA DE FONDOS DE PENSIONES Y CESANTIA PROTECCION S.A.</v>
      </c>
      <c r="E3">
        <f>+C3</f>
        <v>8001381881</v>
      </c>
      <c r="F3" t="str">
        <v>SI</v>
      </c>
      <c r="G3">
        <f>COUNTIF($C$2:$C$202,C3)</f>
        <v>1</v>
      </c>
    </row>
    <row r="4">
      <c r="A4">
        <v>3</v>
      </c>
      <c r="B4" t="str">
        <v>ALIANZA FIDUCIARIA S.A. VOCERO PATRIMONIO AUTONOMO FIDEICOMISO EXXON MOBIL</v>
      </c>
      <c r="C4">
        <v>8300538122</v>
      </c>
      <c r="D4" t="str">
        <f>+B4</f>
        <v>ALIANZA FIDUCIARIA S.A. VOCERO PATRIMONIO AUTONOMO FIDEICOMISO EXXON MOBIL</v>
      </c>
      <c r="E4">
        <f>+C4</f>
        <v>8300538122</v>
      </c>
      <c r="F4" t="str">
        <v>SI</v>
      </c>
      <c r="G4">
        <f>COUNTIF($C$2:$C$202,C4)</f>
        <v>1</v>
      </c>
    </row>
    <row r="5">
      <c r="A5">
        <v>4</v>
      </c>
      <c r="B5" t="str">
        <v>AVANCOP COOPERATIVA DE AHORRO Y CREDITO</v>
      </c>
      <c r="C5">
        <v>8909812122</v>
      </c>
      <c r="D5" t="str">
        <f>+B5</f>
        <v>AVANCOP COOPERATIVA DE AHORRO Y CREDITO</v>
      </c>
      <c r="E5">
        <f>+C5</f>
        <v>8909812122</v>
      </c>
      <c r="F5" t="str">
        <v>SI</v>
      </c>
      <c r="G5">
        <f>COUNTIF($C$2:$C$202,C5)</f>
        <v>1</v>
      </c>
    </row>
    <row r="6">
      <c r="A6">
        <v>5</v>
      </c>
      <c r="B6" t="str">
        <v>BANCO AGRARIO DE COLOMBIA S.A</v>
      </c>
      <c r="C6">
        <v>8000378008</v>
      </c>
      <c r="D6" t="str">
        <f>+B6</f>
        <v>BANCO AGRARIO DE COLOMBIA S.A</v>
      </c>
      <c r="E6">
        <f>+C6</f>
        <v>8000378008</v>
      </c>
      <c r="F6" t="str">
        <v>SI</v>
      </c>
      <c r="G6">
        <f>COUNTIF($C$2:$C$202,C6)</f>
        <v>1</v>
      </c>
    </row>
    <row r="7">
      <c r="A7">
        <v>6</v>
      </c>
      <c r="B7" t="str">
        <v>BANCO AV VILLAS S.A.</v>
      </c>
      <c r="C7">
        <v>8600358275</v>
      </c>
      <c r="D7" t="str">
        <f>+B7</f>
        <v>BANCO AV VILLAS S.A.</v>
      </c>
      <c r="E7">
        <f>+C7</f>
        <v>8600358275</v>
      </c>
      <c r="F7" t="str">
        <v>SI</v>
      </c>
      <c r="G7">
        <f>COUNTIF($C$2:$C$202,C7)</f>
        <v>1</v>
      </c>
      <c r="H7" t="str">
        <v>arcilaj@bancoavvillas.com.co</v>
      </c>
    </row>
    <row r="8">
      <c r="A8">
        <v>7</v>
      </c>
      <c r="B8" t="str">
        <v>BANCO CAJA SOCIAL</v>
      </c>
      <c r="C8">
        <v>8600073354</v>
      </c>
      <c r="D8" t="str">
        <f>+B8</f>
        <v>BANCO CAJA SOCIAL</v>
      </c>
      <c r="E8">
        <f>+C8</f>
        <v>8600073354</v>
      </c>
      <c r="F8" t="str">
        <v>SI</v>
      </c>
      <c r="G8">
        <f>COUNTIF($C$2:$C$202,C8)</f>
        <v>1</v>
      </c>
    </row>
    <row r="9">
      <c r="A9">
        <v>8</v>
      </c>
      <c r="B9" t="str">
        <v>BANCO COLPATRIA RED MULTIBANCA S.A.</v>
      </c>
      <c r="C9">
        <v>8600345941</v>
      </c>
      <c r="D9" t="str">
        <f>+B9</f>
        <v>BANCO COLPATRIA RED MULTIBANCA S.A.</v>
      </c>
      <c r="E9">
        <f>+C9</f>
        <v>8600345941</v>
      </c>
      <c r="F9" t="str">
        <v>SI</v>
      </c>
      <c r="G9">
        <f>COUNTIF($C$2:$C$202,C9)</f>
        <v>1</v>
      </c>
      <c r="H9" t="str">
        <v>endososbp@colpatria.com</v>
      </c>
    </row>
    <row r="10">
      <c r="A10">
        <v>9</v>
      </c>
      <c r="B10" t="str">
        <v>BANCO COOMEVA S.A. BANCOOMEVA</v>
      </c>
      <c r="C10" t="str">
        <v>9004061505</v>
      </c>
      <c r="D10" t="str">
        <f>+B10</f>
        <v>BANCO COOMEVA S.A. BANCOOMEVA</v>
      </c>
      <c r="E10" t="str">
        <f>+C10</f>
        <v>9004061505</v>
      </c>
      <c r="F10" t="str">
        <v>SI</v>
      </c>
      <c r="G10">
        <f>COUNTIF($C$2:$C$202,C10)</f>
        <v>1</v>
      </c>
    </row>
    <row r="11">
      <c r="A11">
        <v>10</v>
      </c>
      <c r="B11" t="str">
        <v>BANCO DAVIVIENDA S.A.</v>
      </c>
      <c r="C11">
        <v>8600343137</v>
      </c>
      <c r="D11" t="str">
        <f>+B11</f>
        <v>BANCO DAVIVIENDA S.A.</v>
      </c>
      <c r="E11">
        <f>+C11</f>
        <v>8600343137</v>
      </c>
      <c r="F11" t="str">
        <v>SI</v>
      </c>
      <c r="G11">
        <f>COUNTIF($C$2:$C$202,C11)</f>
        <v>1</v>
      </c>
    </row>
    <row r="12">
      <c r="A12">
        <v>11</v>
      </c>
      <c r="B12" t="str">
        <v>BANCO DE BOGOTA S.A.</v>
      </c>
      <c r="C12">
        <v>8600029644</v>
      </c>
      <c r="D12" t="str">
        <f>+B12</f>
        <v>BANCO DE BOGOTA S.A.</v>
      </c>
      <c r="E12">
        <f>+C12</f>
        <v>8600029644</v>
      </c>
      <c r="F12" t="str">
        <v>SI</v>
      </c>
      <c r="G12">
        <f>COUNTIF($C$2:$C$202,C12)</f>
        <v>1</v>
      </c>
    </row>
    <row r="13">
      <c r="A13">
        <v>12</v>
      </c>
      <c r="B13" t="str">
        <v>BANCO DE COLOMBIA</v>
      </c>
      <c r="C13">
        <v>8600029651</v>
      </c>
      <c r="D13" t="str">
        <f>+B13</f>
        <v>BANCO DE COLOMBIA</v>
      </c>
      <c r="E13">
        <f>+C13</f>
        <v>8600029651</v>
      </c>
      <c r="F13" t="str">
        <v>SI</v>
      </c>
      <c r="G13">
        <f>COUNTIF($C$2:$C$202,C13)</f>
        <v>1</v>
      </c>
    </row>
    <row r="14">
      <c r="A14">
        <v>13</v>
      </c>
      <c r="B14" t="str">
        <v>BANCO DE COMERCIO EXT. DE COLOMBIA S.A. BANCOLDEX</v>
      </c>
      <c r="C14">
        <v>8001499236</v>
      </c>
      <c r="D14" t="str">
        <f>+B14</f>
        <v>BANCO DE COMERCIO EXT. DE COLOMBIA S.A. BANCOLDEX</v>
      </c>
      <c r="E14">
        <f>+C14</f>
        <v>8001499236</v>
      </c>
      <c r="F14" t="str">
        <v>SI</v>
      </c>
      <c r="G14">
        <f>COUNTIF($C$2:$C$202,C14)</f>
        <v>1</v>
      </c>
    </row>
    <row r="15">
      <c r="A15">
        <v>14</v>
      </c>
      <c r="B15" t="str">
        <v>BANCO DE LA REPUBLICA</v>
      </c>
      <c r="C15">
        <v>8600052167</v>
      </c>
      <c r="D15" t="str">
        <f>+B15</f>
        <v>BANCO DE LA REPUBLICA</v>
      </c>
      <c r="E15">
        <f>+C15</f>
        <v>8600052167</v>
      </c>
      <c r="F15" t="str">
        <v>SI</v>
      </c>
      <c r="G15">
        <f>COUNTIF($C$2:$C$202,C15)</f>
        <v>1</v>
      </c>
    </row>
    <row r="16">
      <c r="A16">
        <v>15</v>
      </c>
      <c r="B16" t="str">
        <v>BANCO DE LAS MICROFINANZAS BANCAMIA S A</v>
      </c>
      <c r="C16">
        <v>9002150711</v>
      </c>
      <c r="D16" t="str">
        <f>+B16</f>
        <v>BANCO DE LAS MICROFINANZAS BANCAMIA S A</v>
      </c>
      <c r="E16">
        <f>+C16</f>
        <v>9002150711</v>
      </c>
      <c r="F16" t="str">
        <v>SI</v>
      </c>
      <c r="G16">
        <f>COUNTIF($C$2:$C$202,C16)</f>
        <v>1</v>
      </c>
    </row>
    <row r="17">
      <c r="A17">
        <v>16</v>
      </c>
      <c r="B17" t="str">
        <v>BANCO DE OCCIDENTE S.A</v>
      </c>
      <c r="C17">
        <v>8903002794</v>
      </c>
      <c r="D17" t="str">
        <f>+B17</f>
        <v>BANCO DE OCCIDENTE S.A</v>
      </c>
      <c r="E17">
        <f>+C17</f>
        <v>8903002794</v>
      </c>
      <c r="F17" t="str">
        <v>SI</v>
      </c>
      <c r="G17">
        <f>COUNTIF($C$2:$C$202,C17)</f>
        <v>1</v>
      </c>
    </row>
    <row r="18">
      <c r="A18">
        <v>17</v>
      </c>
      <c r="B18" t="str">
        <v>BANCO GNB SUDAMERIS S.A.</v>
      </c>
      <c r="C18">
        <v>8600507501</v>
      </c>
      <c r="D18" t="str">
        <f>+B18</f>
        <v>BANCO GNB SUDAMERIS S.A.</v>
      </c>
      <c r="E18">
        <f>+C18</f>
        <v>8600507501</v>
      </c>
      <c r="F18" t="str">
        <v>SI</v>
      </c>
      <c r="G18">
        <f>COUNTIF($C$2:$C$202,C18)</f>
        <v>1</v>
      </c>
    </row>
    <row r="19">
      <c r="A19">
        <v>18</v>
      </c>
      <c r="B19" t="str">
        <v>BANCO PICHINCHA S.A.</v>
      </c>
      <c r="C19">
        <v>8902007567</v>
      </c>
      <c r="D19" t="str">
        <f>+B19</f>
        <v>BANCO PICHINCHA S.A.</v>
      </c>
      <c r="E19">
        <f>+C19</f>
        <v>8902007567</v>
      </c>
      <c r="F19" t="str">
        <v>SI</v>
      </c>
      <c r="G19">
        <f>COUNTIF($C$2:$C$202,C19)</f>
        <v>1</v>
      </c>
    </row>
    <row r="20">
      <c r="A20">
        <v>19</v>
      </c>
      <c r="B20" t="str">
        <v>BANCO POPULAR S.A.</v>
      </c>
      <c r="C20">
        <v>8600077389</v>
      </c>
      <c r="D20" t="str">
        <f>+B20</f>
        <v>BANCO POPULAR S.A.</v>
      </c>
      <c r="E20">
        <f>+C20</f>
        <v>8600077389</v>
      </c>
      <c r="F20" t="str">
        <v>SI</v>
      </c>
      <c r="G20">
        <f>COUNTIF($C$2:$C$202,C20)</f>
        <v>1</v>
      </c>
    </row>
    <row r="21">
      <c r="A21">
        <v>20</v>
      </c>
      <c r="B21" t="str">
        <v>BANCOLOMBIA S.A</v>
      </c>
      <c r="C21">
        <v>8909039388</v>
      </c>
      <c r="D21" t="str">
        <f>+B21</f>
        <v>BANCOLOMBIA S.A</v>
      </c>
      <c r="E21">
        <f>+C21</f>
        <v>8909039388</v>
      </c>
      <c r="F21" t="str">
        <v>SI</v>
      </c>
      <c r="G21">
        <f>COUNTIF($C$2:$C$202,C21)</f>
        <v>1</v>
      </c>
      <c r="H21" t="str">
        <v>endososbancolombia@bancolombia.com.co</v>
      </c>
    </row>
    <row r="22">
      <c r="A22">
        <v>21</v>
      </c>
      <c r="B22" t="str">
        <v>BBVA COLOMBIA S.A.</v>
      </c>
      <c r="C22">
        <v>8600030201</v>
      </c>
      <c r="D22" t="str">
        <f>+B22</f>
        <v>BBVA COLOMBIA S.A.</v>
      </c>
      <c r="E22">
        <f>+C22</f>
        <v>8600030201</v>
      </c>
      <c r="F22" t="str">
        <v>SI</v>
      </c>
      <c r="G22">
        <f>COUNTIF($C$2:$C$202,C22)</f>
        <v>1</v>
      </c>
      <c r="H22" t="str">
        <v>endoso.co@bbva.com</v>
      </c>
    </row>
    <row r="23">
      <c r="A23">
        <v>22</v>
      </c>
      <c r="B23" t="str">
        <v>CAJA  DE  COMPENSACIÓN  FAMILIAR  DE ANTIOQUIA COMFAMA</v>
      </c>
      <c r="C23">
        <v>8909008419</v>
      </c>
      <c r="D23" t="str">
        <f>+B23</f>
        <v>CAJA  DE  COMPENSACIÓN  FAMILIAR  DE ANTIOQUIA COMFAMA</v>
      </c>
      <c r="E23">
        <f>+C23</f>
        <v>8909008419</v>
      </c>
      <c r="F23" t="str">
        <v>SI</v>
      </c>
      <c r="G23">
        <f>COUNTIF($C$2:$C$202,C23)</f>
        <v>1</v>
      </c>
    </row>
    <row r="24">
      <c r="A24">
        <v>23</v>
      </c>
      <c r="B24" t="str">
        <v xml:space="preserve">CAVIPETROL </v>
      </c>
      <c r="C24">
        <v>8600067732</v>
      </c>
      <c r="D24" t="str">
        <f>+B24</f>
        <v xml:space="preserve">CAVIPETROL </v>
      </c>
      <c r="E24">
        <f>+C24</f>
        <v>8600067732</v>
      </c>
      <c r="F24" t="str">
        <v>SI</v>
      </c>
      <c r="G24">
        <f>COUNTIF($C$2:$C$202,C24)</f>
        <v>1</v>
      </c>
    </row>
    <row r="25">
      <c r="A25">
        <v>24</v>
      </c>
      <c r="B25" t="str">
        <v>COMPAÑIA DE FINANCIAMIENTO TUYA SA</v>
      </c>
      <c r="C25">
        <v>8600323303</v>
      </c>
      <c r="D25" t="str">
        <f>+B25</f>
        <v>COMPAÑIA DE FINANCIAMIENTO TUYA SA</v>
      </c>
      <c r="E25">
        <f>+C25</f>
        <v>8600323303</v>
      </c>
      <c r="F25" t="str">
        <v>SI</v>
      </c>
      <c r="G25">
        <f>COUNTIF($C$2:$C$202,C25)</f>
        <v>1</v>
      </c>
    </row>
    <row r="26">
      <c r="A26">
        <v>25</v>
      </c>
      <c r="B26" t="str">
        <v>COMPAÑIA NACIONAL DE CHOCOLATES S.A.S.</v>
      </c>
      <c r="C26">
        <v>8110360309</v>
      </c>
      <c r="D26" t="str">
        <f>+B26</f>
        <v>COMPAÑIA NACIONAL DE CHOCOLATES S.A.S.</v>
      </c>
      <c r="E26">
        <f>+C26</f>
        <v>8110360309</v>
      </c>
      <c r="F26" t="str">
        <v>SI</v>
      </c>
      <c r="G26">
        <f>COUNTIF($C$2:$C$202,C26)</f>
        <v>1</v>
      </c>
    </row>
    <row r="27">
      <c r="A27">
        <v>26</v>
      </c>
      <c r="B27" t="str">
        <v>CONFIAR COOPERATIVA FINANCIERA</v>
      </c>
      <c r="C27">
        <v>8909813951</v>
      </c>
      <c r="D27" t="str">
        <f>+B27</f>
        <v>CONFIAR COOPERATIVA FINANCIERA</v>
      </c>
      <c r="E27">
        <f>+C27</f>
        <v>8909813951</v>
      </c>
      <c r="F27" t="str">
        <v>SI</v>
      </c>
      <c r="G27">
        <f>COUNTIF($C$2:$C$202,C27)</f>
        <v>1</v>
      </c>
    </row>
    <row r="28">
      <c r="A28">
        <v>27</v>
      </c>
      <c r="B28" t="str">
        <v>COOFINEP COOPERATIVA FINANCIERA</v>
      </c>
      <c r="C28">
        <v>8909011770</v>
      </c>
      <c r="D28" t="str">
        <f>+B28</f>
        <v>COOFINEP COOPERATIVA FINANCIERA</v>
      </c>
      <c r="E28">
        <f>+C28</f>
        <v>8909011770</v>
      </c>
      <c r="F28" t="str">
        <v>SI</v>
      </c>
      <c r="G28">
        <f>COUNTIF($C$2:$C$202,C28)</f>
        <v>1</v>
      </c>
    </row>
    <row r="29">
      <c r="A29">
        <v>28</v>
      </c>
      <c r="B29" t="str">
        <v>COOMEVA COOPERATIVA FINANCIERA</v>
      </c>
      <c r="C29">
        <v>9001721483</v>
      </c>
      <c r="D29" t="str">
        <f>+B29</f>
        <v>COOMEVA COOPERATIVA FINANCIERA</v>
      </c>
      <c r="E29">
        <f>+C29</f>
        <v>9001721483</v>
      </c>
      <c r="F29" t="str">
        <v>SI</v>
      </c>
      <c r="G29">
        <f>COUNTIF($C$2:$C$202,C29)</f>
        <v>1</v>
      </c>
    </row>
    <row r="30">
      <c r="A30">
        <v>29</v>
      </c>
      <c r="B30" t="str">
        <v>COOPACREDITO SANTA ROSA</v>
      </c>
      <c r="C30">
        <v>8909088232</v>
      </c>
      <c r="D30" t="str">
        <f>+B30</f>
        <v>COOPACREDITO SANTA ROSA</v>
      </c>
      <c r="E30">
        <f>+C30</f>
        <v>8909088232</v>
      </c>
      <c r="F30" t="str">
        <v>SI</v>
      </c>
      <c r="G30">
        <f>COUNTIF($C$2:$C$202,C30)</f>
        <v>1</v>
      </c>
    </row>
    <row r="31">
      <c r="A31">
        <v>30</v>
      </c>
      <c r="B31" t="str">
        <v>COOPERATIVA BELÉN, AHORRO Y CRÉDITO COBELÉN</v>
      </c>
      <c r="C31">
        <v>8909092467</v>
      </c>
      <c r="D31" t="str">
        <f>+B31</f>
        <v>COOPERATIVA BELÉN, AHORRO Y CRÉDITO COBELÉN</v>
      </c>
      <c r="E31">
        <f>+C31</f>
        <v>8909092467</v>
      </c>
      <c r="F31" t="str">
        <v>SI</v>
      </c>
      <c r="G31">
        <f>COUNTIF($C$2:$C$202,C31)</f>
        <v>1</v>
      </c>
    </row>
    <row r="32">
      <c r="A32">
        <v>31</v>
      </c>
      <c r="B32" t="str">
        <v>COOPERATIVA DE AHORRO Y CREDITO CREAFAM - COOCREAFAM</v>
      </c>
      <c r="C32">
        <v>8002019893</v>
      </c>
      <c r="D32" t="str">
        <f>+B32</f>
        <v>COOPERATIVA DE AHORRO Y CREDITO CREAFAM - COOCREAFAM</v>
      </c>
      <c r="E32">
        <f>+C32</f>
        <v>8002019893</v>
      </c>
      <c r="F32" t="str">
        <v>SI</v>
      </c>
      <c r="G32">
        <f>COUNTIF($C$2:$C$202,C32)</f>
        <v>1</v>
      </c>
    </row>
    <row r="33">
      <c r="A33">
        <v>32</v>
      </c>
      <c r="B33" t="str">
        <v>COOPERATIVA DE AHORRO Y CREDITO CREAR LTDA. - CREARCOOP</v>
      </c>
      <c r="C33">
        <v>8909814594</v>
      </c>
      <c r="D33" t="str">
        <f>+B33</f>
        <v>COOPERATIVA DE AHORRO Y CREDITO CREAR LTDA. - CREARCOOP</v>
      </c>
      <c r="E33">
        <f>+C33</f>
        <v>8909814594</v>
      </c>
      <c r="F33" t="str">
        <v>SI</v>
      </c>
      <c r="G33">
        <f>COUNTIF($C$2:$C$202,C33)</f>
        <v>1</v>
      </c>
    </row>
    <row r="34">
      <c r="A34">
        <v>33</v>
      </c>
      <c r="B34" t="str">
        <v>COOPERATIVA DE PROFESORES DE LA UNIVERSIDAD DE ANTIOQUIA - COOPRUDEA</v>
      </c>
      <c r="C34">
        <v>8909850321</v>
      </c>
      <c r="D34" t="str">
        <f>+B34</f>
        <v>COOPERATIVA DE PROFESORES DE LA UNIVERSIDAD DE ANTIOQUIA - COOPRUDEA</v>
      </c>
      <c r="E34">
        <f>+C34</f>
        <v>8909850321</v>
      </c>
      <c r="F34" t="str">
        <v>SI</v>
      </c>
      <c r="G34">
        <f>COUNTIF($C$2:$C$202,C34)</f>
        <v>1</v>
      </c>
    </row>
    <row r="35">
      <c r="A35">
        <v>34</v>
      </c>
      <c r="B35" t="str">
        <v>COOPERATIVA DE YARUMAL - COOPYARUMAL</v>
      </c>
      <c r="C35">
        <v>8909052064</v>
      </c>
      <c r="D35" t="str">
        <f>+B35</f>
        <v>COOPERATIVA DE YARUMAL - COOPYARUMAL</v>
      </c>
      <c r="E35">
        <f>+C35</f>
        <v>8909052064</v>
      </c>
      <c r="F35" t="str">
        <v>SI</v>
      </c>
      <c r="G35">
        <f>COUNTIF($C$2:$C$202,C35)</f>
        <v>1</v>
      </c>
    </row>
    <row r="36">
      <c r="A36">
        <v>35</v>
      </c>
      <c r="B36" t="str">
        <v>COOPERATIVA EMPRESARIAL MULTIACTIVA POPULAR</v>
      </c>
      <c r="C36">
        <v>8600332277</v>
      </c>
      <c r="D36" t="str">
        <f>+B36</f>
        <v>COOPERATIVA EMPRESARIAL MULTIACTIVA POPULAR</v>
      </c>
      <c r="E36">
        <f>+C36</f>
        <v>8600332277</v>
      </c>
      <c r="F36" t="str">
        <v>SI</v>
      </c>
      <c r="G36">
        <f>COUNTIF($C$2:$C$202,C36)</f>
        <v>1</v>
      </c>
    </row>
    <row r="37">
      <c r="A37">
        <v>36</v>
      </c>
      <c r="B37" t="str">
        <v>COOPERATIVA FINANCIERA COTRAFA</v>
      </c>
      <c r="C37">
        <v>8909011763</v>
      </c>
      <c r="D37" t="str">
        <f>+B37</f>
        <v>COOPERATIVA FINANCIERA COTRAFA</v>
      </c>
      <c r="E37">
        <f>+C37</f>
        <v>8909011763</v>
      </c>
      <c r="F37" t="str">
        <v>SI</v>
      </c>
      <c r="G37">
        <f>COUNTIF($C$2:$C$202,C37)</f>
        <v>1</v>
      </c>
    </row>
    <row r="38">
      <c r="A38">
        <v>37</v>
      </c>
      <c r="B38" t="str">
        <v>COOPERATIVA FINANCIERA DE ANTIOQUIA - C.F.A.</v>
      </c>
      <c r="C38">
        <v>8110226883</v>
      </c>
      <c r="D38" t="str">
        <f>+B38</f>
        <v>COOPERATIVA FINANCIERA DE ANTIOQUIA - C.F.A.</v>
      </c>
      <c r="E38">
        <f>+C38</f>
        <v>8110226883</v>
      </c>
      <c r="F38" t="str">
        <v>SI</v>
      </c>
      <c r="G38">
        <f>COUNTIF($C$2:$C$202,C38)</f>
        <v>1</v>
      </c>
    </row>
    <row r="39">
      <c r="A39">
        <v>38</v>
      </c>
      <c r="B39" t="str">
        <v xml:space="preserve">COOPERATIVA FINANCIERA JOHN F. KENNEDY </v>
      </c>
      <c r="C39">
        <v>8909074890</v>
      </c>
      <c r="D39" t="str">
        <f>+B39</f>
        <v xml:space="preserve">COOPERATIVA FINANCIERA JOHN F. KENNEDY </v>
      </c>
      <c r="E39">
        <f>+C39</f>
        <v>8909074890</v>
      </c>
      <c r="F39" t="str">
        <v>SI</v>
      </c>
      <c r="G39">
        <f>COUNTIF($C$2:$C$202,C39)</f>
        <v>1</v>
      </c>
    </row>
    <row r="40">
      <c r="A40">
        <v>39</v>
      </c>
      <c r="B40" t="str">
        <v>COOPERATIVA NACIONAL DE TRABAJADORES - COOPETRABAN</v>
      </c>
      <c r="C40">
        <v>8909050851</v>
      </c>
      <c r="D40" t="str">
        <f>+B40</f>
        <v>COOPERATIVA NACIONAL DE TRABAJADORES - COOPETRABAN</v>
      </c>
      <c r="E40">
        <f>+C40</f>
        <v>8909050851</v>
      </c>
      <c r="F40" t="str">
        <v>SI</v>
      </c>
      <c r="G40">
        <f>COUNTIF($C$2:$C$202,C40)</f>
        <v>1</v>
      </c>
    </row>
    <row r="41">
      <c r="A41">
        <v>40</v>
      </c>
      <c r="B41" t="str">
        <v>COOPERATIVA UNIVERSITARIA BOLIVARIANA</v>
      </c>
      <c r="C41">
        <v>8909070382</v>
      </c>
      <c r="D41" t="str">
        <f>+B41</f>
        <v>COOPERATIVA UNIVERSITARIA BOLIVARIANA</v>
      </c>
      <c r="E41">
        <f>+C41</f>
        <v>8909070382</v>
      </c>
      <c r="F41" t="str">
        <v>SI</v>
      </c>
      <c r="G41">
        <f>COUNTIF($C$2:$C$202,C41)</f>
        <v>1</v>
      </c>
    </row>
    <row r="42">
      <c r="A42">
        <v>41</v>
      </c>
      <c r="B42" t="str">
        <v>COOPEREN, COOPERATIVA DE AHORRO Y CRÉDITO</v>
      </c>
      <c r="C42">
        <v>8909825304</v>
      </c>
      <c r="D42" t="str">
        <f>+B42</f>
        <v>COOPEREN, COOPERATIVA DE AHORRO Y CRÉDITO</v>
      </c>
      <c r="E42">
        <f>+C42</f>
        <v>8909825304</v>
      </c>
      <c r="F42" t="str">
        <v>SI</v>
      </c>
      <c r="G42">
        <f>COUNTIF($C$2:$C$202,C42)</f>
        <v>1</v>
      </c>
    </row>
    <row r="43">
      <c r="A43">
        <v>42</v>
      </c>
      <c r="B43" t="str">
        <v>CORPORACION URREA ARBELAEZ</v>
      </c>
      <c r="C43">
        <v>9000613587</v>
      </c>
      <c r="D43" t="str">
        <f>+B43</f>
        <v>CORPORACION URREA ARBELAEZ</v>
      </c>
      <c r="E43">
        <f>+C43</f>
        <v>9000613587</v>
      </c>
      <c r="F43" t="str">
        <v>SI</v>
      </c>
      <c r="G43">
        <f>COUNTIF($C$2:$C$202,C43)</f>
        <v>1</v>
      </c>
    </row>
    <row r="44">
      <c r="A44">
        <v>43</v>
      </c>
      <c r="B44" t="str">
        <v>CREDIFAMILIA COMPAÑIA DE FINANCIAMIENTO S.A.</v>
      </c>
      <c r="C44">
        <v>9004064721</v>
      </c>
      <c r="D44" t="str">
        <f>+B44</f>
        <v>CREDIFAMILIA COMPAÑIA DE FINANCIAMIENTO S.A.</v>
      </c>
      <c r="E44">
        <f>+C44</f>
        <v>9004064721</v>
      </c>
      <c r="F44" t="str">
        <v>SI</v>
      </c>
      <c r="G44">
        <f>COUNTIF($C$2:$C$202,C44)</f>
        <v>1</v>
      </c>
    </row>
    <row r="45">
      <c r="A45">
        <v>44</v>
      </c>
      <c r="B45" t="str">
        <v>DEPARTAMENTO DE ANTIOQUIA</v>
      </c>
      <c r="C45">
        <v>8909002860</v>
      </c>
      <c r="D45" t="str">
        <f>+B45</f>
        <v>DEPARTAMENTO DE ANTIOQUIA</v>
      </c>
      <c r="E45">
        <f>+C45</f>
        <v>8909002860</v>
      </c>
      <c r="F45" t="str">
        <v>SI</v>
      </c>
      <c r="G45">
        <f>COUNTIF($C$2:$C$202,C45)</f>
        <v>1</v>
      </c>
    </row>
    <row r="46">
      <c r="A46">
        <v>45</v>
      </c>
      <c r="B46" t="str">
        <v>EMPRESA DE ENERGIA DEL PACIFICO S.A. E.S.P</v>
      </c>
      <c r="C46">
        <v>8002498601</v>
      </c>
      <c r="D46" t="str">
        <f>+B46</f>
        <v>EMPRESA DE ENERGIA DEL PACIFICO S.A. E.S.P</v>
      </c>
      <c r="E46">
        <f>+C46</f>
        <v>8002498601</v>
      </c>
      <c r="F46" t="str">
        <v>SI</v>
      </c>
      <c r="G46">
        <f>COUNTIF($C$2:$C$202,C46)</f>
        <v>1</v>
      </c>
    </row>
    <row r="47">
      <c r="A47">
        <v>46</v>
      </c>
      <c r="B47" t="str">
        <v>EMPRESA DE VIVIENDA DE ANTIOQUIA VIVA</v>
      </c>
      <c r="C47">
        <v>8110321878</v>
      </c>
      <c r="D47" t="str">
        <f>+B47</f>
        <v>EMPRESA DE VIVIENDA DE ANTIOQUIA VIVA</v>
      </c>
      <c r="E47">
        <f>+C47</f>
        <v>8110321878</v>
      </c>
      <c r="F47" t="str">
        <v>SI</v>
      </c>
      <c r="G47">
        <f>COUNTIF($C$2:$C$202,C47)</f>
        <v>1</v>
      </c>
    </row>
    <row r="48">
      <c r="A48">
        <v>47</v>
      </c>
      <c r="B48" t="str">
        <v>EMPRESAS PÚBLICAS DE MEDELLÍN EPM</v>
      </c>
      <c r="C48">
        <v>8909049961</v>
      </c>
      <c r="D48" t="str">
        <f>+B48</f>
        <v>EMPRESAS PÚBLICAS DE MEDELLÍN EPM</v>
      </c>
      <c r="E48">
        <f>+C48</f>
        <v>8909049961</v>
      </c>
      <c r="F48" t="str">
        <v>SI</v>
      </c>
      <c r="G48">
        <f>COUNTIF($C$2:$C$202,C48)</f>
        <v>1</v>
      </c>
    </row>
    <row r="49">
      <c r="A49">
        <v>48</v>
      </c>
      <c r="B49" t="str">
        <v>ESE HOSPITAL DEL SUR GABRIEL JARAMILLO PIEDRAHITA</v>
      </c>
      <c r="C49">
        <v>8110178106</v>
      </c>
      <c r="D49" t="str">
        <f>+B49</f>
        <v>ESE HOSPITAL DEL SUR GABRIEL JARAMILLO PIEDRAHITA</v>
      </c>
      <c r="E49">
        <f>+C49</f>
        <v>8110178106</v>
      </c>
      <c r="F49" t="str">
        <v>SI</v>
      </c>
      <c r="G49">
        <f>COUNTIF($C$2:$C$202,C49)</f>
        <v>1</v>
      </c>
    </row>
    <row r="50">
      <c r="A50">
        <v>49</v>
      </c>
      <c r="B50" t="str">
        <v>ESE HOSPITAL GENERAL DE MEDELLIN</v>
      </c>
      <c r="C50">
        <v>8909046467</v>
      </c>
      <c r="D50" t="str">
        <f>+B50</f>
        <v>ESE HOSPITAL GENERAL DE MEDELLIN</v>
      </c>
      <c r="E50">
        <f>+C50</f>
        <v>8909046467</v>
      </c>
      <c r="F50" t="str">
        <v>SI</v>
      </c>
      <c r="G50">
        <f>COUNTIF($C$2:$C$202,C50)</f>
        <v>1</v>
      </c>
    </row>
    <row r="51">
      <c r="A51">
        <v>50</v>
      </c>
      <c r="B51" t="str">
        <v>FALABELLA DE COLOMBIA S A</v>
      </c>
      <c r="C51">
        <v>9000174478</v>
      </c>
      <c r="D51" t="str">
        <f>+B51</f>
        <v>FALABELLA DE COLOMBIA S A</v>
      </c>
      <c r="E51">
        <f>+C51</f>
        <v>9000174478</v>
      </c>
      <c r="F51" t="str">
        <v>SI</v>
      </c>
      <c r="G51">
        <f>COUNTIF($C$2:$C$202,C51)</f>
        <v>1</v>
      </c>
    </row>
    <row r="52">
      <c r="A52">
        <v>51</v>
      </c>
      <c r="B52" t="str">
        <v>FEPEP FONDO DE EMPLEADOS DE EPM</v>
      </c>
      <c r="C52">
        <v>8000253044</v>
      </c>
      <c r="D52" t="str">
        <f>+B52</f>
        <v>FEPEP FONDO DE EMPLEADOS DE EPM</v>
      </c>
      <c r="E52">
        <f>+C52</f>
        <v>8000253044</v>
      </c>
      <c r="F52" t="str">
        <v>SI</v>
      </c>
      <c r="G52">
        <f>COUNTIF($C$2:$C$202,C52)</f>
        <v>1</v>
      </c>
    </row>
    <row r="53">
      <c r="A53">
        <v>52</v>
      </c>
      <c r="B53" t="str">
        <v>FEPEP FONDO DE EMPLEADOS DE EPM / EMPRESAS PÚBLICAS DE MEDELLÍN EPM</v>
      </c>
      <c r="C53" t="str">
        <v>8000253044 / 8909049961</v>
      </c>
      <c r="D53" t="str">
        <f>+B53</f>
        <v>FEPEP FONDO DE EMPLEADOS DE EPM / EMPRESAS PÚBLICAS DE MEDELLÍN EPM</v>
      </c>
      <c r="E53" t="str">
        <f>+C53</f>
        <v>8000253044 / 8909049961</v>
      </c>
      <c r="F53" t="str">
        <v>SI</v>
      </c>
      <c r="G53">
        <f>COUNTIF($C$2:$C$202,C53)</f>
        <v>1</v>
      </c>
      <c r="J53" t="str">
        <v>FONDO MUTUO DE AHORRO E INVERSION DE LOS EMPLEADOS Y TRABAJADORES DE HOLASA</v>
      </c>
    </row>
    <row r="54">
      <c r="A54">
        <v>53</v>
      </c>
      <c r="B54" t="str">
        <v>FIDUCIARIA BANCOLOMBIA S.A.</v>
      </c>
      <c r="C54">
        <v>8001502800</v>
      </c>
      <c r="D54" t="str">
        <f>+B54</f>
        <v>FIDUCIARIA BANCOLOMBIA S.A.</v>
      </c>
      <c r="E54">
        <f>+C54</f>
        <v>8001502800</v>
      </c>
      <c r="F54" t="str">
        <v>SI</v>
      </c>
      <c r="G54">
        <f>COUNTIF($C$2:$C$202,C54)</f>
        <v>1</v>
      </c>
    </row>
    <row r="55">
      <c r="A55">
        <v>54</v>
      </c>
      <c r="B55" t="str">
        <v xml:space="preserve">FIDUCIARIA CORFICOLOMBIANA S.A. </v>
      </c>
      <c r="C55">
        <v>8002567696</v>
      </c>
      <c r="D55" t="str">
        <f>+B55</f>
        <v xml:space="preserve">FIDUCIARIA CORFICOLOMBIANA S.A. </v>
      </c>
      <c r="E55">
        <f>+C55</f>
        <v>8002567696</v>
      </c>
      <c r="F55" t="str">
        <v>SI</v>
      </c>
      <c r="G55">
        <f>COUNTIF($C$2:$C$202,C55)</f>
        <v>1</v>
      </c>
    </row>
    <row r="56">
      <c r="A56">
        <v>55</v>
      </c>
      <c r="B56" t="str">
        <v>FINANCIERA ANDINA S.A</v>
      </c>
      <c r="C56">
        <v>8600518946</v>
      </c>
      <c r="D56" t="str">
        <f>+B56</f>
        <v>FINANCIERA ANDINA S.A</v>
      </c>
      <c r="E56">
        <f>+C56</f>
        <v>8600518946</v>
      </c>
      <c r="F56" t="str">
        <v>SI</v>
      </c>
      <c r="G56">
        <f>COUNTIF($C$2:$C$202,C56)</f>
        <v>1</v>
      </c>
    </row>
    <row r="57">
      <c r="A57">
        <v>56</v>
      </c>
      <c r="B57" t="str">
        <v>FOMOLASA</v>
      </c>
      <c r="C57">
        <v>8909857454</v>
      </c>
      <c r="D57" t="str">
        <f>+B57</f>
        <v>FOMOLASA</v>
      </c>
      <c r="E57">
        <f>+C57</f>
        <v>8909857454</v>
      </c>
      <c r="F57" t="str">
        <v>SI</v>
      </c>
      <c r="G57">
        <f>COUNTIF($C$2:$C$202,C57)</f>
        <v>1</v>
      </c>
    </row>
    <row r="58">
      <c r="A58">
        <v>57</v>
      </c>
      <c r="B58" t="str">
        <v>FOMUNE</v>
      </c>
      <c r="C58">
        <v>8909857519</v>
      </c>
      <c r="D58" t="str">
        <f>+B58</f>
        <v>FOMUNE</v>
      </c>
      <c r="E58">
        <f>+C58</f>
        <v>8909857519</v>
      </c>
      <c r="F58" t="str">
        <v>SI</v>
      </c>
      <c r="G58">
        <f>COUNTIF($C$2:$C$202,C58)</f>
        <v>1</v>
      </c>
    </row>
    <row r="59">
      <c r="A59">
        <v>58</v>
      </c>
      <c r="B59" t="str">
        <v>FONDO DE EMPLEADOS AMIGOTEX</v>
      </c>
      <c r="C59">
        <v>8909852335</v>
      </c>
      <c r="D59" t="str">
        <f>+B59</f>
        <v>FONDO DE EMPLEADOS AMIGOTEX</v>
      </c>
      <c r="E59">
        <f>+C59</f>
        <v>8909852335</v>
      </c>
      <c r="F59" t="str">
        <v>SI</v>
      </c>
      <c r="G59">
        <f>COUNTIF($C$2:$C$202,C59)</f>
        <v>1</v>
      </c>
    </row>
    <row r="60">
      <c r="A60">
        <v>59</v>
      </c>
      <c r="B60" t="str">
        <v>FONDO DE EMPLEADOS DE EXTRUSIONES - FEDEXTRU</v>
      </c>
      <c r="C60">
        <v>8110041539</v>
      </c>
      <c r="D60" t="str">
        <f>+B60</f>
        <v>FONDO DE EMPLEADOS DE EXTRUSIONES - FEDEXTRU</v>
      </c>
      <c r="E60">
        <f>+C60</f>
        <v>8110041539</v>
      </c>
      <c r="F60" t="str">
        <v>SI</v>
      </c>
      <c r="G60">
        <f>COUNTIF($C$2:$C$202,C60)</f>
        <v>1</v>
      </c>
    </row>
    <row r="61">
      <c r="A61">
        <v>60</v>
      </c>
      <c r="B61" t="str">
        <v>FONDO DE EMPLEADOS DE PELDAR /FONPELDAR</v>
      </c>
      <c r="C61">
        <v>8600353321</v>
      </c>
      <c r="D61" t="str">
        <f>+B61</f>
        <v>FONDO DE EMPLEADOS DE PELDAR /FONPELDAR</v>
      </c>
      <c r="E61">
        <f>+C61</f>
        <v>8600353321</v>
      </c>
      <c r="F61" t="str">
        <v>SI</v>
      </c>
      <c r="G61">
        <f>COUNTIF($C$2:$C$202,C61)</f>
        <v>1</v>
      </c>
    </row>
    <row r="62">
      <c r="A62">
        <v>61</v>
      </c>
      <c r="B62" t="str">
        <v>FONDO DE EMPLEADOS DEL ÉXITO</v>
      </c>
      <c r="C62">
        <v>8001839870</v>
      </c>
      <c r="D62" t="str">
        <f>+B62</f>
        <v>FONDO DE EMPLEADOS DEL ÉXITO</v>
      </c>
      <c r="E62">
        <f>+C62</f>
        <v>8001839870</v>
      </c>
      <c r="F62" t="str">
        <v>SI</v>
      </c>
      <c r="G62">
        <f>COUNTIF($C$2:$C$202,C62)</f>
        <v>1</v>
      </c>
    </row>
    <row r="63">
      <c r="A63">
        <v>62</v>
      </c>
      <c r="B63" t="str">
        <v>FONDO DE EMPLEADOS FEISA</v>
      </c>
      <c r="C63">
        <v>8600355596</v>
      </c>
      <c r="D63" t="str">
        <f>+B63</f>
        <v>FONDO DE EMPLEADOS FEISA</v>
      </c>
      <c r="E63">
        <f>+C63</f>
        <v>8600355596</v>
      </c>
      <c r="F63" t="str">
        <v>SI</v>
      </c>
      <c r="G63">
        <f>COUNTIF($C$2:$C$202,C63)</f>
        <v>1</v>
      </c>
    </row>
    <row r="64">
      <c r="A64">
        <v>63</v>
      </c>
      <c r="B64" t="str">
        <v>FONDO DE EMPLEADOS PROTECCION S.A.</v>
      </c>
      <c r="C64">
        <v>8110266161</v>
      </c>
      <c r="D64" t="str">
        <f>+B64</f>
        <v>FONDO DE EMPLEADOS PROTECCION S.A.</v>
      </c>
      <c r="E64">
        <f>+C64</f>
        <v>8110266161</v>
      </c>
      <c r="F64" t="str">
        <v>SI</v>
      </c>
      <c r="G64">
        <f>COUNTIF($C$2:$C$202,C64)</f>
        <v>1</v>
      </c>
    </row>
    <row r="65">
      <c r="A65">
        <v>64</v>
      </c>
      <c r="B65" t="str">
        <v>FONDO DE EMPLEADOS UNE - FONDOUNE</v>
      </c>
      <c r="C65">
        <v>8110188078</v>
      </c>
      <c r="D65" t="str">
        <f>+B65</f>
        <v>FONDO DE EMPLEADOS UNE - FONDOUNE</v>
      </c>
      <c r="E65">
        <f>+C65</f>
        <v>8110188078</v>
      </c>
      <c r="F65" t="str">
        <v>SI</v>
      </c>
      <c r="G65">
        <f>COUNTIF($C$2:$C$202,C65)</f>
        <v>1</v>
      </c>
    </row>
    <row r="66">
      <c r="A66">
        <v>65</v>
      </c>
      <c r="B66" t="str">
        <v>FONDO NACIONAL DEL AHORRO</v>
      </c>
      <c r="C66">
        <v>8999992844</v>
      </c>
      <c r="D66" t="str">
        <f>+B66</f>
        <v>FONDO NACIONAL DEL AHORRO</v>
      </c>
      <c r="E66">
        <f>+C66</f>
        <v>8999992844</v>
      </c>
      <c r="F66" t="str">
        <v>SI</v>
      </c>
      <c r="G66">
        <f>COUNTIF($C$2:$C$202,C66)</f>
        <v>1</v>
      </c>
    </row>
    <row r="67">
      <c r="A67">
        <v>66</v>
      </c>
      <c r="B67" t="str">
        <v>FONDO SOCIAL DE VIVIENDA DE LA REGISTRADURIA NACIONAL DEL ESTADO CIVIL</v>
      </c>
      <c r="C67">
        <v>8300851297</v>
      </c>
      <c r="D67" t="str">
        <f>+B67</f>
        <v>FONDO SOCIAL DE VIVIENDA DE LA REGISTRADURIA NACIONAL DEL ESTADO CIVIL</v>
      </c>
      <c r="E67">
        <f>+C67</f>
        <v>8300851297</v>
      </c>
      <c r="F67" t="str">
        <v>SI</v>
      </c>
      <c r="G67">
        <f>COUNTIF($C$2:$C$202,C67)</f>
        <v>1</v>
      </c>
    </row>
    <row r="68">
      <c r="A68">
        <v>67</v>
      </c>
      <c r="B68" t="str">
        <v>HELM BANK S.A</v>
      </c>
      <c r="C68">
        <v>8600076603</v>
      </c>
      <c r="D68" t="str">
        <f>+B68</f>
        <v>HELM BANK S.A</v>
      </c>
      <c r="E68">
        <f>+C68</f>
        <v>8600076603</v>
      </c>
      <c r="F68" t="str">
        <v>SI</v>
      </c>
      <c r="G68">
        <f>COUNTIF($C$2:$C$202,C68)</f>
        <v>1</v>
      </c>
    </row>
    <row r="69">
      <c r="A69">
        <v>68</v>
      </c>
      <c r="B69" t="str">
        <v>HELM LEASING S.A CIA DE FINANCIAMIENTO COMERCIAL</v>
      </c>
      <c r="C69">
        <v>8000513345</v>
      </c>
      <c r="D69" t="str">
        <f>+B69</f>
        <v>HELM LEASING S.A CIA DE FINANCIAMIENTO COMERCIAL</v>
      </c>
      <c r="E69">
        <f>+C69</f>
        <v>8000513345</v>
      </c>
      <c r="F69" t="str">
        <v>SI</v>
      </c>
      <c r="G69">
        <f>COUNTIF($C$2:$C$202,C69)</f>
        <v>1</v>
      </c>
    </row>
    <row r="70">
      <c r="A70">
        <v>69</v>
      </c>
      <c r="B70" t="str">
        <v>IDEA</v>
      </c>
      <c r="C70">
        <v>8909801792</v>
      </c>
      <c r="D70" t="str">
        <f>+B70</f>
        <v>IDEA</v>
      </c>
      <c r="E70">
        <f>+C70</f>
        <v>8909801792</v>
      </c>
      <c r="F70" t="str">
        <v>SI</v>
      </c>
      <c r="G70">
        <f>COUNTIF($C$2:$C$202,C70)</f>
        <v>1</v>
      </c>
    </row>
    <row r="71">
      <c r="A71">
        <v>70</v>
      </c>
      <c r="B71" t="str">
        <v>INTERCOLOMBIA S.A. E.S.P.</v>
      </c>
      <c r="C71">
        <v>9006675901</v>
      </c>
      <c r="D71" t="str">
        <f>+B71</f>
        <v>INTERCOLOMBIA S.A. E.S.P.</v>
      </c>
      <c r="E71">
        <f>+C71</f>
        <v>9006675901</v>
      </c>
      <c r="F71" t="str">
        <v>SI</v>
      </c>
      <c r="G71">
        <f>COUNTIF($C$2:$C$202,C71)</f>
        <v>1</v>
      </c>
    </row>
    <row r="72">
      <c r="A72">
        <v>71</v>
      </c>
      <c r="B72" t="str">
        <v xml:space="preserve">INTERCONEXIÓN ELÉCTRICA S.A E.S.P – ISA S.A. E.S.P / ISA - FEISA </v>
      </c>
      <c r="C72">
        <v>8600166103</v>
      </c>
      <c r="D72" t="str">
        <f>+B72</f>
        <v xml:space="preserve">INTERCONEXIÓN ELÉCTRICA S.A E.S.P – ISA S.A. E.S.P / ISA - FEISA </v>
      </c>
      <c r="E72">
        <f>+C72</f>
        <v>8600166103</v>
      </c>
      <c r="F72" t="str">
        <v>SI</v>
      </c>
      <c r="G72">
        <f>COUNTIF($C$2:$C$202,C72)</f>
        <v>1</v>
      </c>
    </row>
    <row r="73">
      <c r="A73">
        <v>72</v>
      </c>
      <c r="B73" t="str">
        <v>ISAGEN</v>
      </c>
      <c r="C73">
        <v>8110007404</v>
      </c>
      <c r="D73" t="str">
        <f>+B73</f>
        <v>ISAGEN</v>
      </c>
      <c r="E73">
        <f>+C73</f>
        <v>8110007404</v>
      </c>
      <c r="F73" t="str">
        <v>SI</v>
      </c>
      <c r="G73">
        <f>COUNTIF($C$2:$C$202,C73)</f>
        <v>1</v>
      </c>
    </row>
    <row r="74">
      <c r="A74">
        <v>73</v>
      </c>
      <c r="B74" t="str">
        <v>ISAGEN / FONDO DE EMPLEADOS FEISA</v>
      </c>
      <c r="C74" t="str">
        <v>8110007404 / 8600355596</v>
      </c>
      <c r="D74" t="str">
        <f>+B74</f>
        <v>ISAGEN / FONDO DE EMPLEADOS FEISA</v>
      </c>
      <c r="E74" t="str">
        <f>+C74</f>
        <v>8110007404 / 8600355596</v>
      </c>
      <c r="F74" t="str">
        <v>SI</v>
      </c>
      <c r="G74">
        <f>COUNTIF($C$2:$C$202,C74)</f>
        <v>1</v>
      </c>
    </row>
    <row r="75">
      <c r="A75">
        <v>74</v>
      </c>
      <c r="B75" t="str">
        <v>ITAU CORPBANCA COLOMBIA SA</v>
      </c>
      <c r="C75">
        <v>8909039370</v>
      </c>
      <c r="D75" t="str">
        <f>+B75</f>
        <v>ITAU CORPBANCA COLOMBIA SA</v>
      </c>
      <c r="E75">
        <f>+C75</f>
        <v>8909039370</v>
      </c>
      <c r="F75" t="str">
        <v>SI</v>
      </c>
      <c r="G75">
        <f>COUNTIF($C$2:$C$202,C75)</f>
        <v>1</v>
      </c>
    </row>
    <row r="76">
      <c r="A76">
        <v>75</v>
      </c>
      <c r="B76" t="str">
        <v>LEASING BANCOLOMBIA S.A. C.F.</v>
      </c>
      <c r="C76">
        <v>8600592943</v>
      </c>
      <c r="D76" t="str">
        <f>+B76</f>
        <v>LEASING BANCOLOMBIA S.A. C.F.</v>
      </c>
      <c r="E76">
        <f>+C76</f>
        <v>8600592943</v>
      </c>
      <c r="F76" t="str">
        <v>SI</v>
      </c>
      <c r="G76">
        <f>COUNTIF($C$2:$C$202,C76)</f>
        <v>1</v>
      </c>
    </row>
    <row r="77">
      <c r="A77">
        <v>76</v>
      </c>
      <c r="B77" t="str">
        <v>LEASING BANCOLOMBIA SEGUROS GENERALES SURAMERICANA</v>
      </c>
      <c r="C77">
        <v>8909034079</v>
      </c>
      <c r="D77" t="str">
        <f>+B77</f>
        <v>LEASING BANCOLOMBIA SEGUROS GENERALES SURAMERICANA</v>
      </c>
      <c r="E77">
        <f>+C77</f>
        <v>8909034079</v>
      </c>
      <c r="F77" t="str">
        <v>SI</v>
      </c>
      <c r="G77">
        <f>COUNTIF($C$2:$C$202,C77)</f>
        <v>1</v>
      </c>
    </row>
    <row r="78">
      <c r="A78">
        <v>77</v>
      </c>
      <c r="B78" t="str">
        <v>LEASING BOLIVAR S.A.</v>
      </c>
      <c r="C78">
        <v>8600672037</v>
      </c>
      <c r="D78" t="str">
        <f>+B78</f>
        <v>LEASING BOLIVAR S.A.</v>
      </c>
      <c r="E78">
        <f>+C78</f>
        <v>8600672037</v>
      </c>
      <c r="F78" t="str">
        <v>SI</v>
      </c>
      <c r="G78">
        <f>COUNTIF($C$2:$C$202,C78)</f>
        <v>1</v>
      </c>
    </row>
    <row r="79">
      <c r="A79">
        <v>78</v>
      </c>
      <c r="B79" t="str">
        <v>LEASING COLMENA S.A. ABS.  BANCO CAJA SOCIAL</v>
      </c>
      <c r="C79">
        <v>8604015106</v>
      </c>
      <c r="D79" t="str">
        <f>+B79</f>
        <v>LEASING COLMENA S.A. ABS.  BANCO CAJA SOCIAL</v>
      </c>
      <c r="E79">
        <f>+C79</f>
        <v>8604015106</v>
      </c>
      <c r="F79" t="str">
        <v>SI</v>
      </c>
      <c r="G79">
        <f>COUNTIF($C$2:$C$202,C79)</f>
        <v>1</v>
      </c>
    </row>
    <row r="80">
      <c r="A80">
        <v>79</v>
      </c>
      <c r="B80" t="str">
        <v>LEASING CORFICOLOMBIANA S.A.</v>
      </c>
      <c r="C80">
        <v>8000247028</v>
      </c>
      <c r="D80" t="str">
        <f>+B80</f>
        <v>LEASING CORFICOLOMBIANA S.A.</v>
      </c>
      <c r="E80">
        <f>+C80</f>
        <v>8000247028</v>
      </c>
      <c r="F80" t="str">
        <v>SI</v>
      </c>
      <c r="G80">
        <f>COUNTIF($C$2:$C$202,C80)</f>
        <v>1</v>
      </c>
    </row>
    <row r="81">
      <c r="A81">
        <v>80</v>
      </c>
      <c r="B81" t="str">
        <v>LEASING DE OCCIDENTE S.A</v>
      </c>
      <c r="C81">
        <v>8605033701</v>
      </c>
      <c r="D81" t="str">
        <f>+B81</f>
        <v>LEASING DE OCCIDENTE S.A</v>
      </c>
      <c r="E81">
        <f>+C81</f>
        <v>8605033701</v>
      </c>
      <c r="F81" t="str">
        <v>SI</v>
      </c>
      <c r="G81">
        <f>COUNTIF($C$2:$C$202,C81)</f>
        <v>1</v>
      </c>
    </row>
    <row r="82">
      <c r="A82">
        <v>81</v>
      </c>
      <c r="B82" t="str">
        <v>MUNICIPIO DE MEDELLIN</v>
      </c>
      <c r="C82">
        <v>8909052111</v>
      </c>
      <c r="D82" t="str">
        <f>+B82</f>
        <v>MUNICIPIO DE MEDELLIN</v>
      </c>
      <c r="E82">
        <f>+C82</f>
        <v>8909052111</v>
      </c>
      <c r="F82" t="str">
        <v>NO</v>
      </c>
      <c r="G82">
        <f>COUNTIF($C$2:$C$202,C82)</f>
        <v>1</v>
      </c>
    </row>
    <row r="83">
      <c r="A83">
        <v>82</v>
      </c>
      <c r="B83" t="str">
        <v>SEGUROS DE VIDA SURAMERICANA S.A. - SEGUROS DE VIDA SURA</v>
      </c>
      <c r="C83">
        <v>8909037905</v>
      </c>
      <c r="D83" t="str">
        <f>+B83</f>
        <v>SEGUROS DE VIDA SURAMERICANA S.A. - SEGUROS DE VIDA SURA</v>
      </c>
      <c r="E83">
        <f>+C83</f>
        <v>8909037905</v>
      </c>
      <c r="F83" t="str">
        <v>NO</v>
      </c>
      <c r="G83">
        <f>COUNTIF($C$2:$C$202,C83)</f>
        <v>1</v>
      </c>
    </row>
    <row r="84">
      <c r="A84">
        <v>83</v>
      </c>
      <c r="B84" t="str">
        <v>SOLIDA VIVIENDA Y HABITAT SOLIDARIOS S.A.S</v>
      </c>
      <c r="C84">
        <v>9007533168</v>
      </c>
      <c r="D84" t="str">
        <f>+B84</f>
        <v>SOLIDA VIVIENDA Y HABITAT SOLIDARIOS S.A.S</v>
      </c>
      <c r="E84">
        <f>+C84</f>
        <v>9007533168</v>
      </c>
      <c r="F84" t="str">
        <v>NO</v>
      </c>
      <c r="G84">
        <f>COUNTIF($C$2:$C$202,C84)</f>
        <v>1</v>
      </c>
    </row>
    <row r="85">
      <c r="A85">
        <v>84</v>
      </c>
      <c r="B85" t="str">
        <v>TERMINALES DE TRANSPORTE DE MEDELLIN S.A.</v>
      </c>
      <c r="C85">
        <v>8909192911</v>
      </c>
      <c r="D85" t="str">
        <f>+B85</f>
        <v>TERMINALES DE TRANSPORTE DE MEDELLIN S.A.</v>
      </c>
      <c r="E85">
        <f>+C85</f>
        <v>8909192911</v>
      </c>
      <c r="F85" t="str">
        <v>NO</v>
      </c>
      <c r="G85">
        <f>COUNTIF($C$2:$C$202,C85)</f>
        <v>1</v>
      </c>
    </row>
    <row r="86">
      <c r="A86">
        <v>85</v>
      </c>
      <c r="B86" t="str">
        <v>UNE EPM TELECOMUNICACIONES S.A.</v>
      </c>
      <c r="C86">
        <v>9000923859</v>
      </c>
      <c r="D86" t="str">
        <f>+B86</f>
        <v>UNE EPM TELECOMUNICACIONES S.A.</v>
      </c>
      <c r="E86">
        <f>+C86</f>
        <v>9000923859</v>
      </c>
      <c r="F86" t="str">
        <v>NO</v>
      </c>
      <c r="G86">
        <f>COUNTIF($C$2:$C$202,C86)</f>
        <v>1</v>
      </c>
    </row>
    <row r="87">
      <c r="A87">
        <v>86</v>
      </c>
      <c r="B87" t="str">
        <v>UNE EPM TELECOMUNICACIONES S.A. / ISAGEN</v>
      </c>
      <c r="C87" t="str">
        <v>9000923859 / 8110007404</v>
      </c>
      <c r="D87" t="str">
        <f>+B87</f>
        <v>UNE EPM TELECOMUNICACIONES S.A. / ISAGEN</v>
      </c>
      <c r="E87" t="str">
        <f>+C87</f>
        <v>9000923859 / 8110007404</v>
      </c>
      <c r="F87" t="str">
        <v>NO</v>
      </c>
      <c r="G87">
        <f>COUNTIF($C$2:$C$202,C87)</f>
        <v>1</v>
      </c>
    </row>
    <row r="88">
      <c r="A88">
        <v>87</v>
      </c>
      <c r="B88" t="str">
        <v>UNIVERSIDAD DE ANTIOQUIA</v>
      </c>
      <c r="C88">
        <v>8909800408</v>
      </c>
      <c r="D88" t="str">
        <f>+B88</f>
        <v>UNIVERSIDAD DE ANTIOQUIA</v>
      </c>
      <c r="E88">
        <f>+C88</f>
        <v>8909800408</v>
      </c>
      <c r="F88" t="str">
        <v>NO</v>
      </c>
      <c r="G88">
        <f>COUNTIF($C$2:$C$202,C88)</f>
        <v>1</v>
      </c>
    </row>
    <row r="89">
      <c r="A89">
        <v>88</v>
      </c>
      <c r="B89" t="str">
        <v xml:space="preserve">VIVIENDAS UNIVERSALES S.A </v>
      </c>
      <c r="C89">
        <v>8110462576</v>
      </c>
      <c r="D89" t="str">
        <f>+B89</f>
        <v xml:space="preserve">VIVIENDAS UNIVERSALES S.A </v>
      </c>
      <c r="E89">
        <f>+C89</f>
        <v>8110462576</v>
      </c>
      <c r="F89" t="str">
        <v>NO</v>
      </c>
      <c r="G89">
        <f>COUNTIF($C$2:$C$202,C89)</f>
        <v>1</v>
      </c>
    </row>
    <row r="90">
      <c r="D90">
        <f>+B90</f>
        <v>0</v>
      </c>
      <c r="E90">
        <f>+C90</f>
        <v>0</v>
      </c>
      <c r="F90" t="str">
        <v>NO</v>
      </c>
      <c r="G90">
        <f>COUNTIF($C$2:$C$202,C90)</f>
        <v>1</v>
      </c>
    </row>
    <row r="91">
      <c r="D91">
        <f>+B91</f>
        <v>0</v>
      </c>
      <c r="E91">
        <f>+C91</f>
        <v>0</v>
      </c>
      <c r="F91" t="str">
        <v>NO</v>
      </c>
      <c r="G91">
        <f>COUNTIF($C$2:$C$202,C91)</f>
        <v>1</v>
      </c>
    </row>
    <row r="92">
      <c r="D92">
        <f>+B92</f>
        <v>0</v>
      </c>
      <c r="E92">
        <f>+C92</f>
        <v>0</v>
      </c>
      <c r="F92" t="str">
        <v>NO</v>
      </c>
      <c r="G92">
        <f>COUNTIF($C$2:$C$202,C92)</f>
        <v>1</v>
      </c>
    </row>
    <row r="93">
      <c r="D93">
        <f>+B93</f>
        <v>0</v>
      </c>
      <c r="E93">
        <f>+C93</f>
        <v>0</v>
      </c>
      <c r="F93" t="str">
        <v>NO</v>
      </c>
      <c r="G93">
        <f>COUNTIF($C$2:$C$202,C93)</f>
        <v>1</v>
      </c>
    </row>
    <row r="94">
      <c r="D94">
        <f>+B94</f>
        <v>0</v>
      </c>
      <c r="E94">
        <f>+C94</f>
        <v>0</v>
      </c>
      <c r="F94" t="str">
        <v>NO</v>
      </c>
      <c r="G94">
        <f>COUNTIF($C$2:$C$202,C94)</f>
        <v>1</v>
      </c>
    </row>
    <row r="95">
      <c r="D95">
        <f>+B95</f>
        <v>0</v>
      </c>
      <c r="E95">
        <f>+C95</f>
        <v>0</v>
      </c>
      <c r="F95" t="str">
        <v>NO</v>
      </c>
      <c r="G95">
        <f>COUNTIF($C$2:$C$202,C95)</f>
        <v>1</v>
      </c>
    </row>
    <row r="96">
      <c r="D96">
        <f>+B96</f>
        <v>0</v>
      </c>
      <c r="E96">
        <f>+C96</f>
        <v>0</v>
      </c>
      <c r="F96" t="str">
        <v>NO</v>
      </c>
      <c r="G96">
        <f>COUNTIF($C$2:$C$202,C96)</f>
        <v>1</v>
      </c>
    </row>
    <row r="97">
      <c r="D97">
        <f>+B97</f>
        <v>0</v>
      </c>
      <c r="E97">
        <f>+C97</f>
        <v>0</v>
      </c>
      <c r="F97" t="str">
        <v>NO</v>
      </c>
      <c r="G97">
        <f>COUNTIF($C$2:$C$202,C97)</f>
        <v>1</v>
      </c>
    </row>
    <row r="98">
      <c r="D98">
        <f>+B98</f>
        <v>0</v>
      </c>
      <c r="E98">
        <f>+C98</f>
        <v>0</v>
      </c>
      <c r="F98" t="str">
        <v>NO</v>
      </c>
      <c r="G98">
        <f>COUNTIF($C$2:$C$202,C98)</f>
        <v>1</v>
      </c>
    </row>
    <row r="99">
      <c r="D99">
        <f>+B99</f>
        <v>0</v>
      </c>
      <c r="E99">
        <f>+C99</f>
        <v>0</v>
      </c>
      <c r="F99" t="str">
        <v>NO</v>
      </c>
      <c r="G99">
        <f>COUNTIF($C$2:$C$202,C99)</f>
        <v>1</v>
      </c>
    </row>
    <row r="100">
      <c r="D100">
        <f>+B100</f>
        <v>0</v>
      </c>
      <c r="E100">
        <f>+C100</f>
        <v>0</v>
      </c>
      <c r="F100" t="str">
        <v>NO</v>
      </c>
      <c r="G100">
        <f>COUNTIF($C$2:$C$202,C100)</f>
        <v>1</v>
      </c>
    </row>
    <row r="101">
      <c r="D101">
        <f>+B101</f>
        <v>0</v>
      </c>
      <c r="E101">
        <f>+C101</f>
        <v>0</v>
      </c>
      <c r="F101" t="str">
        <v>NO</v>
      </c>
      <c r="G101">
        <f>COUNTIF($C$2:$C$202,C101)</f>
        <v>1</v>
      </c>
    </row>
    <row r="102">
      <c r="D102">
        <f>+B102</f>
        <v>0</v>
      </c>
      <c r="E102">
        <f>+C102</f>
        <v>0</v>
      </c>
      <c r="F102" t="str">
        <v>NO</v>
      </c>
      <c r="G102">
        <f>COUNTIF($C$2:$C$202,C102)</f>
        <v>1</v>
      </c>
    </row>
    <row r="103">
      <c r="D103">
        <f>+B103</f>
        <v>0</v>
      </c>
      <c r="E103">
        <f>+C103</f>
        <v>0</v>
      </c>
      <c r="F103" t="str">
        <v>NO</v>
      </c>
      <c r="G103">
        <f>COUNTIF($C$2:$C$202,C103)</f>
        <v>1</v>
      </c>
    </row>
    <row r="104">
      <c r="D104">
        <f>+B104</f>
        <v>0</v>
      </c>
      <c r="E104">
        <f>+C104</f>
        <v>0</v>
      </c>
      <c r="F104" t="str">
        <v>NO</v>
      </c>
      <c r="G104">
        <f>COUNTIF($C$2:$C$202,C104)</f>
        <v>1</v>
      </c>
    </row>
    <row r="105">
      <c r="D105">
        <f>+B105</f>
        <v>0</v>
      </c>
      <c r="E105">
        <f>+C105</f>
        <v>0</v>
      </c>
      <c r="F105" t="str">
        <v>NO</v>
      </c>
      <c r="G105">
        <f>COUNTIF($C$2:$C$202,C105)</f>
        <v>1</v>
      </c>
    </row>
    <row r="106">
      <c r="D106">
        <f>+B106</f>
        <v>0</v>
      </c>
      <c r="E106">
        <f>+C106</f>
        <v>0</v>
      </c>
      <c r="F106" t="str">
        <v>NO</v>
      </c>
      <c r="G106">
        <f>COUNTIF($C$2:$C$202,C106)</f>
        <v>1</v>
      </c>
    </row>
    <row r="107">
      <c r="D107">
        <f>+B107</f>
        <v>0</v>
      </c>
      <c r="E107">
        <f>+C107</f>
        <v>0</v>
      </c>
      <c r="F107" t="str">
        <v>NO</v>
      </c>
      <c r="G107">
        <f>COUNTIF($C$2:$C$202,C107)</f>
        <v>1</v>
      </c>
    </row>
    <row r="108">
      <c r="D108">
        <f>+B108</f>
        <v>0</v>
      </c>
      <c r="E108">
        <f>+C108</f>
        <v>0</v>
      </c>
      <c r="F108" t="str">
        <v>NO</v>
      </c>
      <c r="G108">
        <f>COUNTIF($C$2:$C$202,C108)</f>
        <v>1</v>
      </c>
    </row>
    <row r="109">
      <c r="D109">
        <f>+B109</f>
        <v>0</v>
      </c>
      <c r="E109">
        <f>+C109</f>
        <v>0</v>
      </c>
      <c r="F109" t="str">
        <v>NO</v>
      </c>
      <c r="G109">
        <f>COUNTIF($C$2:$C$202,C109)</f>
        <v>1</v>
      </c>
    </row>
    <row r="110">
      <c r="D110">
        <f>+B110</f>
        <v>0</v>
      </c>
      <c r="E110">
        <f>+C110</f>
        <v>0</v>
      </c>
      <c r="F110" t="str">
        <v>NO</v>
      </c>
      <c r="G110">
        <f>COUNTIF($C$2:$C$202,C110)</f>
        <v>1</v>
      </c>
    </row>
    <row r="111">
      <c r="D111">
        <f>+B111</f>
        <v>0</v>
      </c>
      <c r="E111">
        <f>+C111</f>
        <v>0</v>
      </c>
      <c r="F111" t="str">
        <v>NO</v>
      </c>
      <c r="G111">
        <f>COUNTIF($C$2:$C$202,C111)</f>
        <v>1</v>
      </c>
    </row>
    <row r="112">
      <c r="D112">
        <f>+B112</f>
        <v>0</v>
      </c>
      <c r="E112">
        <f>+C112</f>
        <v>0</v>
      </c>
      <c r="F112" t="str">
        <v>NO</v>
      </c>
      <c r="G112">
        <f>COUNTIF($C$2:$C$202,C112)</f>
        <v>1</v>
      </c>
    </row>
    <row r="113">
      <c r="D113">
        <f>+B113</f>
        <v>0</v>
      </c>
      <c r="E113">
        <f>+C113</f>
        <v>0</v>
      </c>
      <c r="F113" t="str">
        <v>NO</v>
      </c>
      <c r="G113">
        <f>COUNTIF($C$2:$C$202,C113)</f>
        <v>1</v>
      </c>
    </row>
    <row r="114">
      <c r="D114">
        <f>+B114</f>
        <v>0</v>
      </c>
      <c r="E114">
        <f>+C114</f>
        <v>0</v>
      </c>
      <c r="F114" t="str">
        <v>NO</v>
      </c>
      <c r="G114">
        <f>COUNTIF($C$2:$C$202,C114)</f>
        <v>1</v>
      </c>
    </row>
    <row r="115">
      <c r="D115">
        <f>+B115</f>
        <v>0</v>
      </c>
      <c r="E115">
        <f>+C115</f>
        <v>0</v>
      </c>
      <c r="F115" t="str">
        <v>NO</v>
      </c>
      <c r="G115">
        <f>COUNTIF($C$2:$C$202,C115)</f>
        <v>1</v>
      </c>
    </row>
    <row r="116">
      <c r="D116">
        <f>+B116</f>
        <v>0</v>
      </c>
      <c r="E116">
        <f>+C116</f>
        <v>0</v>
      </c>
      <c r="F116" t="str">
        <v>NO</v>
      </c>
      <c r="G116">
        <f>COUNTIF($C$2:$C$202,C116)</f>
        <v>1</v>
      </c>
    </row>
    <row r="117">
      <c r="D117">
        <f>+B117</f>
        <v>0</v>
      </c>
      <c r="E117">
        <f>+C117</f>
        <v>0</v>
      </c>
      <c r="F117" t="str">
        <v>NO</v>
      </c>
      <c r="G117">
        <f>COUNTIF($C$2:$C$202,C117)</f>
        <v>1</v>
      </c>
    </row>
    <row r="118">
      <c r="D118">
        <f>+B118</f>
        <v>0</v>
      </c>
      <c r="E118">
        <f>+C118</f>
        <v>0</v>
      </c>
      <c r="F118" t="str">
        <v>NO</v>
      </c>
      <c r="G118">
        <f>COUNTIF($C$2:$C$202,C118)</f>
        <v>1</v>
      </c>
    </row>
    <row r="119">
      <c r="D119">
        <f>+B119</f>
        <v>0</v>
      </c>
      <c r="E119">
        <f>+C119</f>
        <v>0</v>
      </c>
      <c r="F119" t="str">
        <v>NO</v>
      </c>
      <c r="G119">
        <f>COUNTIF($C$2:$C$202,C119)</f>
        <v>1</v>
      </c>
    </row>
    <row r="120">
      <c r="D120">
        <f>+B120</f>
        <v>0</v>
      </c>
      <c r="E120">
        <f>+C120</f>
        <v>0</v>
      </c>
      <c r="F120" t="str">
        <v>NO</v>
      </c>
      <c r="G120">
        <f>COUNTIF($C$2:$C$202,C120)</f>
        <v>1</v>
      </c>
    </row>
    <row r="121">
      <c r="D121">
        <f>+B121</f>
        <v>0</v>
      </c>
      <c r="E121">
        <f>+C121</f>
        <v>0</v>
      </c>
      <c r="F121" t="str">
        <v>NO</v>
      </c>
      <c r="G121">
        <f>COUNTIF($C$2:$C$202,C121)</f>
        <v>1</v>
      </c>
    </row>
    <row r="122">
      <c r="D122">
        <f>+B122</f>
        <v>0</v>
      </c>
      <c r="E122">
        <f>+C122</f>
        <v>0</v>
      </c>
      <c r="F122" t="str">
        <v>NO</v>
      </c>
      <c r="G122">
        <f>COUNTIF($C$2:$C$202,C122)</f>
        <v>1</v>
      </c>
    </row>
    <row r="123">
      <c r="D123">
        <f>+B123</f>
        <v>0</v>
      </c>
      <c r="E123">
        <f>+C123</f>
        <v>0</v>
      </c>
      <c r="F123" t="str">
        <v>NO</v>
      </c>
      <c r="G123">
        <f>COUNTIF($C$2:$C$202,C123)</f>
        <v>1</v>
      </c>
    </row>
    <row r="124">
      <c r="D124">
        <f>+B124</f>
        <v>0</v>
      </c>
      <c r="E124">
        <f>+C124</f>
        <v>0</v>
      </c>
      <c r="F124" t="str">
        <v>NO</v>
      </c>
      <c r="G124">
        <f>COUNTIF($C$2:$C$202,C124)</f>
        <v>1</v>
      </c>
    </row>
    <row r="125">
      <c r="D125">
        <f>+B125</f>
        <v>0</v>
      </c>
      <c r="E125">
        <f>+C125</f>
        <v>0</v>
      </c>
      <c r="F125" t="str">
        <v>NO</v>
      </c>
      <c r="G125">
        <f>COUNTIF($C$2:$C$202,C125)</f>
        <v>1</v>
      </c>
    </row>
    <row r="126">
      <c r="D126">
        <f>+B126</f>
        <v>0</v>
      </c>
      <c r="E126">
        <f>+C126</f>
        <v>0</v>
      </c>
      <c r="F126" t="str">
        <v>NO</v>
      </c>
      <c r="G126">
        <f>COUNTIF($C$2:$C$202,C126)</f>
        <v>1</v>
      </c>
    </row>
    <row r="127">
      <c r="D127">
        <f>+B127</f>
        <v>0</v>
      </c>
      <c r="E127">
        <f>+C127</f>
        <v>0</v>
      </c>
      <c r="F127" t="str">
        <v>NO</v>
      </c>
      <c r="G127">
        <f>COUNTIF($C$2:$C$202,C127)</f>
        <v>1</v>
      </c>
    </row>
    <row r="128">
      <c r="D128">
        <f>+B128</f>
        <v>0</v>
      </c>
      <c r="E128">
        <f>+C128</f>
        <v>0</v>
      </c>
      <c r="F128" t="str">
        <v>NO</v>
      </c>
      <c r="G128">
        <f>COUNTIF($C$2:$C$202,C128)</f>
        <v>1</v>
      </c>
    </row>
    <row r="129">
      <c r="D129">
        <f>+B129</f>
        <v>0</v>
      </c>
      <c r="E129">
        <f>+C129</f>
        <v>0</v>
      </c>
      <c r="F129" t="str">
        <v>NO</v>
      </c>
      <c r="G129">
        <f>COUNTIF($C$2:$C$202,C129)</f>
        <v>1</v>
      </c>
    </row>
    <row r="130">
      <c r="D130">
        <f>+B130</f>
        <v>0</v>
      </c>
      <c r="E130">
        <f>+C130</f>
        <v>0</v>
      </c>
      <c r="F130" t="str">
        <v>NO</v>
      </c>
      <c r="G130">
        <f>COUNTIF($C$2:$C$202,C130)</f>
        <v>1</v>
      </c>
    </row>
    <row r="131">
      <c r="D131">
        <f>+B131</f>
        <v>0</v>
      </c>
      <c r="E131">
        <f>+C131</f>
        <v>0</v>
      </c>
      <c r="F131" t="str">
        <v>NO</v>
      </c>
      <c r="G131">
        <f>COUNTIF($C$2:$C$202,C131)</f>
        <v>1</v>
      </c>
    </row>
    <row r="132">
      <c r="D132">
        <f>+B132</f>
        <v>0</v>
      </c>
      <c r="E132">
        <f>+C132</f>
        <v>0</v>
      </c>
      <c r="F132" t="str">
        <v>NO</v>
      </c>
      <c r="G132">
        <f>COUNTIF($C$2:$C$202,C132)</f>
        <v>1</v>
      </c>
    </row>
    <row r="133">
      <c r="D133">
        <f>+B133</f>
        <v>0</v>
      </c>
      <c r="E133">
        <f>+C133</f>
        <v>0</v>
      </c>
      <c r="F133" t="str">
        <v>NO</v>
      </c>
      <c r="G133">
        <f>COUNTIF($C$2:$C$202,C133)</f>
        <v>1</v>
      </c>
    </row>
    <row r="134">
      <c r="D134">
        <f>+B134</f>
        <v>0</v>
      </c>
      <c r="E134">
        <f>+C134</f>
        <v>0</v>
      </c>
      <c r="F134" t="str">
        <v>NO</v>
      </c>
      <c r="G134">
        <f>COUNTIF($C$2:$C$202,C134)</f>
        <v>1</v>
      </c>
    </row>
    <row r="135">
      <c r="D135">
        <f>+B135</f>
        <v>0</v>
      </c>
      <c r="E135">
        <f>+C135</f>
        <v>0</v>
      </c>
      <c r="F135" t="str">
        <v>NO</v>
      </c>
      <c r="G135">
        <f>COUNTIF($C$2:$C$202,C135)</f>
        <v>1</v>
      </c>
    </row>
    <row r="136">
      <c r="D136">
        <f>+B136</f>
        <v>0</v>
      </c>
      <c r="E136">
        <f>+C136</f>
        <v>0</v>
      </c>
      <c r="F136" t="str">
        <v>NO</v>
      </c>
      <c r="G136">
        <f>COUNTIF($C$2:$C$202,C136)</f>
        <v>1</v>
      </c>
    </row>
    <row r="137">
      <c r="D137">
        <f>+B137</f>
        <v>0</v>
      </c>
      <c r="E137">
        <f>+C137</f>
        <v>0</v>
      </c>
      <c r="F137" t="str">
        <v>NO</v>
      </c>
      <c r="G137">
        <f>COUNTIF($C$2:$C$202,C137)</f>
        <v>1</v>
      </c>
    </row>
    <row r="138">
      <c r="D138">
        <f>+B138</f>
        <v>0</v>
      </c>
      <c r="E138">
        <f>+C138</f>
        <v>0</v>
      </c>
      <c r="F138" t="str">
        <v>NO</v>
      </c>
      <c r="G138">
        <f>COUNTIF($C$2:$C$202,C138)</f>
        <v>1</v>
      </c>
    </row>
    <row r="139">
      <c r="D139">
        <f>+B139</f>
        <v>0</v>
      </c>
      <c r="E139">
        <f>+C139</f>
        <v>0</v>
      </c>
      <c r="F139" t="str">
        <v>NO</v>
      </c>
      <c r="G139">
        <f>COUNTIF($C$2:$C$202,C139)</f>
        <v>1</v>
      </c>
    </row>
    <row r="140">
      <c r="D140">
        <f>+B140</f>
        <v>0</v>
      </c>
      <c r="E140">
        <f>+C140</f>
        <v>0</v>
      </c>
      <c r="F140" t="str">
        <v>NO</v>
      </c>
      <c r="G140">
        <f>COUNTIF($C$2:$C$202,C140)</f>
        <v>1</v>
      </c>
    </row>
    <row r="141">
      <c r="D141">
        <f>+B141</f>
        <v>0</v>
      </c>
      <c r="E141">
        <f>+C141</f>
        <v>0</v>
      </c>
      <c r="F141" t="str">
        <v>NO</v>
      </c>
      <c r="G141">
        <f>COUNTIF($C$2:$C$202,C141)</f>
        <v>1</v>
      </c>
    </row>
    <row r="142">
      <c r="D142">
        <f>+B142</f>
        <v>0</v>
      </c>
      <c r="E142">
        <f>+C142</f>
        <v>0</v>
      </c>
      <c r="F142" t="str">
        <v>NO</v>
      </c>
      <c r="G142">
        <f>COUNTIF($C$2:$C$202,C142)</f>
        <v>1</v>
      </c>
    </row>
    <row r="143">
      <c r="D143">
        <f>+B143</f>
        <v>0</v>
      </c>
      <c r="E143">
        <f>+C143</f>
        <v>0</v>
      </c>
      <c r="F143" t="str">
        <v>NO</v>
      </c>
      <c r="G143">
        <f>COUNTIF($C$2:$C$202,C143)</f>
        <v>1</v>
      </c>
    </row>
    <row r="144">
      <c r="D144">
        <f>+B144</f>
        <v>0</v>
      </c>
      <c r="E144">
        <f>+C144</f>
        <v>0</v>
      </c>
      <c r="F144" t="str">
        <v>NO</v>
      </c>
      <c r="G144">
        <f>COUNTIF($C$2:$C$202,C144)</f>
        <v>1</v>
      </c>
    </row>
    <row r="145">
      <c r="D145">
        <f>+B145</f>
        <v>0</v>
      </c>
      <c r="E145">
        <f>+C145</f>
        <v>0</v>
      </c>
      <c r="F145" t="str">
        <v>NO</v>
      </c>
      <c r="G145">
        <f>COUNTIF($C$2:$C$202,C145)</f>
        <v>1</v>
      </c>
    </row>
    <row r="146">
      <c r="D146">
        <f>+B146</f>
        <v>0</v>
      </c>
      <c r="E146">
        <f>+C146</f>
        <v>0</v>
      </c>
      <c r="F146" t="str">
        <v>NO</v>
      </c>
      <c r="G146">
        <f>COUNTIF($C$2:$C$202,C146)</f>
        <v>1</v>
      </c>
    </row>
    <row r="147">
      <c r="D147">
        <f>+B147</f>
        <v>0</v>
      </c>
      <c r="E147">
        <f>+C147</f>
        <v>0</v>
      </c>
      <c r="F147" t="str">
        <v>NO</v>
      </c>
      <c r="G147">
        <f>COUNTIF($C$2:$C$202,C147)</f>
        <v>1</v>
      </c>
    </row>
    <row r="148">
      <c r="D148">
        <f>+B148</f>
        <v>0</v>
      </c>
      <c r="E148">
        <f>+C148</f>
        <v>0</v>
      </c>
      <c r="F148" t="str">
        <v>NO</v>
      </c>
      <c r="G148">
        <f>COUNTIF($C$2:$C$202,C148)</f>
        <v>1</v>
      </c>
    </row>
    <row r="149">
      <c r="D149">
        <f>+B149</f>
        <v>0</v>
      </c>
      <c r="E149">
        <f>+C149</f>
        <v>0</v>
      </c>
      <c r="F149" t="str">
        <v>NO</v>
      </c>
      <c r="G149">
        <f>COUNTIF($C$2:$C$202,C149)</f>
        <v>1</v>
      </c>
    </row>
    <row r="150">
      <c r="D150">
        <f>+B150</f>
        <v>0</v>
      </c>
      <c r="E150">
        <f>+C150</f>
        <v>0</v>
      </c>
      <c r="F150" t="str">
        <v>NO</v>
      </c>
      <c r="G150">
        <f>COUNTIF($C$2:$C$202,C150)</f>
        <v>1</v>
      </c>
    </row>
    <row r="151">
      <c r="D151">
        <f>+B151</f>
        <v>0</v>
      </c>
      <c r="E151">
        <f>+C151</f>
        <v>0</v>
      </c>
      <c r="F151" t="str">
        <v>NO</v>
      </c>
      <c r="G151">
        <f>COUNTIF($C$2:$C$202,C151)</f>
        <v>1</v>
      </c>
    </row>
    <row r="152">
      <c r="D152">
        <f>+B152</f>
        <v>0</v>
      </c>
      <c r="E152">
        <f>+C152</f>
        <v>0</v>
      </c>
      <c r="F152" t="str">
        <v>NO</v>
      </c>
      <c r="G152">
        <f>COUNTIF($C$2:$C$202,C152)</f>
        <v>1</v>
      </c>
    </row>
    <row r="153">
      <c r="D153">
        <f>+B153</f>
        <v>0</v>
      </c>
      <c r="E153">
        <f>+C153</f>
        <v>0</v>
      </c>
      <c r="F153" t="str">
        <v>NO</v>
      </c>
      <c r="G153">
        <f>COUNTIF($C$2:$C$202,C153)</f>
        <v>1</v>
      </c>
    </row>
    <row r="154">
      <c r="D154">
        <f>+B154</f>
        <v>0</v>
      </c>
      <c r="E154">
        <f>+C154</f>
        <v>0</v>
      </c>
      <c r="F154" t="str">
        <v>NO</v>
      </c>
      <c r="G154">
        <f>COUNTIF($C$2:$C$202,C154)</f>
        <v>1</v>
      </c>
    </row>
    <row r="155">
      <c r="D155">
        <f>+B155</f>
        <v>0</v>
      </c>
      <c r="E155">
        <f>+C155</f>
        <v>0</v>
      </c>
      <c r="F155" t="str">
        <v>NO</v>
      </c>
      <c r="G155">
        <f>COUNTIF($C$2:$C$202,C155)</f>
        <v>1</v>
      </c>
    </row>
    <row r="156">
      <c r="D156">
        <f>+B156</f>
        <v>0</v>
      </c>
      <c r="E156">
        <f>+C156</f>
        <v>0</v>
      </c>
      <c r="F156" t="str">
        <v>NO</v>
      </c>
      <c r="G156">
        <f>COUNTIF($C$2:$C$202,C156)</f>
        <v>1</v>
      </c>
    </row>
    <row r="157">
      <c r="D157">
        <f>+B157</f>
        <v>0</v>
      </c>
      <c r="E157">
        <f>+C157</f>
        <v>0</v>
      </c>
      <c r="F157" t="str">
        <v>NO</v>
      </c>
      <c r="G157">
        <f>COUNTIF($C$2:$C$202,C157)</f>
        <v>1</v>
      </c>
    </row>
    <row r="158">
      <c r="D158">
        <f>+B158</f>
        <v>0</v>
      </c>
      <c r="E158">
        <f>+C158</f>
        <v>0</v>
      </c>
      <c r="F158" t="str">
        <v>NO</v>
      </c>
      <c r="G158">
        <f>COUNTIF($C$2:$C$202,C158)</f>
        <v>1</v>
      </c>
    </row>
    <row r="159">
      <c r="D159">
        <f>+B159</f>
        <v>0</v>
      </c>
      <c r="E159">
        <f>+C159</f>
        <v>0</v>
      </c>
      <c r="F159" t="str">
        <v>NO</v>
      </c>
      <c r="G159">
        <f>COUNTIF($C$2:$C$202,C159)</f>
        <v>1</v>
      </c>
    </row>
    <row r="160">
      <c r="D160">
        <f>+B160</f>
        <v>0</v>
      </c>
      <c r="E160">
        <f>+C160</f>
        <v>0</v>
      </c>
      <c r="F160" t="str">
        <v>NO</v>
      </c>
      <c r="G160">
        <f>COUNTIF($C$2:$C$202,C160)</f>
        <v>1</v>
      </c>
    </row>
    <row r="161">
      <c r="D161">
        <f>+B161</f>
        <v>0</v>
      </c>
      <c r="E161">
        <f>+C161</f>
        <v>0</v>
      </c>
      <c r="F161" t="str">
        <v>NO</v>
      </c>
      <c r="G161">
        <f>COUNTIF($C$2:$C$202,C161)</f>
        <v>1</v>
      </c>
    </row>
    <row r="162">
      <c r="D162">
        <f>+B162</f>
        <v>0</v>
      </c>
      <c r="E162">
        <f>+C162</f>
        <v>0</v>
      </c>
      <c r="F162" t="str">
        <v>NO</v>
      </c>
      <c r="G162">
        <f>COUNTIF($C$2:$C$202,C162)</f>
        <v>1</v>
      </c>
    </row>
    <row r="163">
      <c r="D163">
        <f>+B163</f>
        <v>0</v>
      </c>
      <c r="E163">
        <f>+C163</f>
        <v>0</v>
      </c>
      <c r="F163" t="str">
        <v>NO</v>
      </c>
      <c r="G163">
        <f>COUNTIF($C$2:$C$202,C163)</f>
        <v>1</v>
      </c>
    </row>
    <row r="164">
      <c r="D164">
        <f>+B164</f>
        <v>0</v>
      </c>
      <c r="E164">
        <f>+C164</f>
        <v>0</v>
      </c>
      <c r="F164" t="str">
        <v>NO</v>
      </c>
      <c r="G164">
        <f>COUNTIF($C$2:$C$202,C164)</f>
        <v>1</v>
      </c>
    </row>
    <row r="165">
      <c r="D165">
        <f>+B165</f>
        <v>0</v>
      </c>
      <c r="E165">
        <f>+C165</f>
        <v>0</v>
      </c>
      <c r="F165" t="str">
        <v>NO</v>
      </c>
      <c r="G165">
        <f>COUNTIF($C$2:$C$202,C165)</f>
        <v>1</v>
      </c>
    </row>
    <row r="166">
      <c r="D166">
        <f>+B166</f>
        <v>0</v>
      </c>
      <c r="E166">
        <f>+C166</f>
        <v>0</v>
      </c>
      <c r="F166" t="str">
        <v>NO</v>
      </c>
      <c r="G166">
        <f>COUNTIF($C$2:$C$202,C166)</f>
        <v>1</v>
      </c>
    </row>
    <row r="167">
      <c r="D167">
        <f>+B167</f>
        <v>0</v>
      </c>
      <c r="E167">
        <f>+C167</f>
        <v>0</v>
      </c>
      <c r="F167" t="str">
        <v>NO</v>
      </c>
      <c r="G167">
        <f>COUNTIF($C$2:$C$202,C167)</f>
        <v>1</v>
      </c>
    </row>
    <row r="168">
      <c r="D168">
        <f>+B168</f>
        <v>0</v>
      </c>
      <c r="E168">
        <f>+C168</f>
        <v>0</v>
      </c>
      <c r="F168" t="str">
        <v>NO</v>
      </c>
      <c r="G168">
        <f>COUNTIF($C$2:$C$202,C168)</f>
        <v>1</v>
      </c>
    </row>
    <row r="169">
      <c r="D169">
        <f>+B169</f>
        <v>0</v>
      </c>
      <c r="E169">
        <f>+C169</f>
        <v>0</v>
      </c>
      <c r="F169" t="str">
        <v>NO</v>
      </c>
      <c r="G169">
        <f>COUNTIF($C$2:$C$202,C169)</f>
        <v>1</v>
      </c>
    </row>
    <row r="170">
      <c r="D170">
        <f>+B170</f>
        <v>0</v>
      </c>
      <c r="E170">
        <f>+C170</f>
        <v>0</v>
      </c>
      <c r="F170" t="str">
        <v>NO</v>
      </c>
      <c r="G170">
        <f>COUNTIF($C$2:$C$202,C170)</f>
        <v>1</v>
      </c>
    </row>
    <row r="171">
      <c r="D171">
        <f>+B171</f>
        <v>0</v>
      </c>
      <c r="E171">
        <f>+C171</f>
        <v>0</v>
      </c>
      <c r="F171" t="str">
        <v>NO</v>
      </c>
      <c r="G171">
        <f>COUNTIF($C$2:$C$202,C171)</f>
        <v>1</v>
      </c>
    </row>
    <row r="172">
      <c r="D172">
        <f>+B172</f>
        <v>0</v>
      </c>
      <c r="E172">
        <f>+C172</f>
        <v>0</v>
      </c>
      <c r="F172" t="str">
        <v>NO</v>
      </c>
      <c r="G172">
        <f>COUNTIF($C$2:$C$202,C172)</f>
        <v>1</v>
      </c>
    </row>
    <row r="173">
      <c r="D173">
        <f>+B173</f>
        <v>0</v>
      </c>
      <c r="E173">
        <f>+C173</f>
        <v>0</v>
      </c>
      <c r="F173" t="str">
        <v>NO</v>
      </c>
      <c r="G173">
        <f>COUNTIF($C$2:$C$202,C173)</f>
        <v>1</v>
      </c>
    </row>
    <row r="174">
      <c r="D174">
        <f>+B174</f>
        <v>0</v>
      </c>
      <c r="E174">
        <f>+C174</f>
        <v>0</v>
      </c>
      <c r="F174" t="str">
        <v>NO</v>
      </c>
      <c r="G174">
        <f>COUNTIF($C$2:$C$202,C174)</f>
        <v>1</v>
      </c>
    </row>
  </sheetData>
  <autoFilter ref="A1:J174"/>
  <pageMargins left="0.7" right="0.7" top="0.75" bottom="0.75" header="0.3" footer="0.3"/>
  <ignoredErrors>
    <ignoredError numberStoredAsText="1" sqref="A1:T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 ENDOSOS</vt:lpstr>
      <vt:lpstr>NIT BANCOS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2019-04-08T16:31:46Z</dcterms:created>
  <dcterms:modified xsi:type="dcterms:W3CDTF">2025-10-29T17:31:14Z</dcterms:modified>
  <cp:lastModifiedBy>Juan Carlos Morales</cp:lastModifiedBy>
  <dc:creator>Jonatam Andres Silva Caro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2021-07-07T12:07:18Z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7719fa13-ce8a-4578-8274-450a31b09c8d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9a7ed875-cb67-40d7-9ea6-a804b08b1148_Enabled">
    <vt:lpwstr>true</vt:lpwstr>
  </property>
  <property fmtid="{D5CDD505-2E9C-101B-9397-08002B2CF9AE}" pid="10" name="MSIP_Label_9a7ed875-cb67-40d7-9ea6-a804b08b1148_SetDate">
    <vt:lpwstr>2024-05-07T14:21:19Z</vt:lpwstr>
  </property>
  <property fmtid="{D5CDD505-2E9C-101B-9397-08002B2CF9AE}" pid="11" name="MSIP_Label_9a7ed875-cb67-40d7-9ea6-a804b08b1148_Method">
    <vt:lpwstr>Privileged</vt:lpwstr>
  </property>
  <property fmtid="{D5CDD505-2E9C-101B-9397-08002B2CF9AE}" pid="12" name="MSIP_Label_9a7ed875-cb67-40d7-9ea6-a804b08b1148_Name">
    <vt:lpwstr>9a7ed875-cb67-40d7-9ea6-a804b08b1148</vt:lpwstr>
  </property>
  <property fmtid="{D5CDD505-2E9C-101B-9397-08002B2CF9AE}" pid="13" name="MSIP_Label_9a7ed875-cb67-40d7-9ea6-a804b08b1148_SiteId">
    <vt:lpwstr>473672ba-cd07-4371-a2ae-788b4c61840e</vt:lpwstr>
  </property>
  <property fmtid="{D5CDD505-2E9C-101B-9397-08002B2CF9AE}" pid="14" name="MSIP_Label_9a7ed875-cb67-40d7-9ea6-a804b08b1148_ActionId">
    <vt:lpwstr>94339b13-8b7a-400d-9ee3-566b4cd903ef</vt:lpwstr>
  </property>
  <property fmtid="{D5CDD505-2E9C-101B-9397-08002B2CF9AE}" pid="15" name="MSIP_Label_9a7ed875-cb67-40d7-9ea6-a804b08b1148_ContentBits">
    <vt:lpwstr>0</vt:lpwstr>
  </property>
  <property fmtid="{D5CDD505-2E9C-101B-9397-08002B2CF9AE}" pid="16" name="ContentTypeId">
    <vt:lpwstr>0x010100E2A6A35E53F6F5429D08E579A9F301BF</vt:lpwstr>
  </property>
  <property fmtid="{D5CDD505-2E9C-101B-9397-08002B2CF9AE}" pid="17" name="MediaServiceImageTags">
    <vt:lpwstr/>
  </property>
</Properties>
</file>