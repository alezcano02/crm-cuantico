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endosos financieros" sheetId="1" r:id="rId1"/>
    <sheet name="ENTIDADES FINANCIERAS" sheetId="2" r:id="rId2"/>
    <sheet name="Hoja4" sheetId="3" r:id="rId3" state="hidden"/>
    <sheet name="Hoja3" sheetId="4" r:id="rId4" state="hidden"/>
  </sheets>
  <definedNames>
    <definedName name="_xlnm._FilterDatabase" localSheetId="0" hidden="1">'Template endosos financieros'!A2:AE62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0.000%"/>
    <numFmt numFmtId="165" formatCode="_-* #,##0_-;\-* #,##0_-;_-* &quot;-&quot;??_-;_-@_-"/>
    <numFmt numFmtId="166" formatCode="_-&quot;$&quot;\ * #,##0_-;\-&quot;$&quot;\ * #,##0_-;_-&quot;$&quot;\ * &quot;-&quot;??_-;_-@_-"/>
    <numFmt numFmtId="167" formatCode="_-&quot;$&quot;* #,##0.00_-;\-&quot;$&quot;* #,##0.00_-;_-&quot;$&quot;* &quot;-&quot;??_-;_-@_-"/>
    <numFmt numFmtId="168" formatCode="#,##0.00_ ;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workbookViewId="0" rightToLeft="0"/>
  </sheetViews>
  <sheetData>
    <row r="1">
      <c r="A1" t="str">
        <v>Datos Propietario</v>
      </c>
      <c r="D1" t="str">
        <v>Datos unidad</v>
      </c>
      <c r="F1" t="str">
        <v>Beneficiario</v>
      </c>
      <c r="I1" t="str">
        <v>Cálculos de valor asegurado</v>
      </c>
      <c r="L1" t="str">
        <v>PRIMER FILTRO</v>
      </c>
      <c r="N1" t="str">
        <v>SEGUNDO FILTRO</v>
      </c>
    </row>
    <row r="2">
      <c r="A2" t="str">
        <v>Propietario</v>
      </c>
      <c r="B2" t="str">
        <v>Tipo de documento</v>
      </c>
      <c r="C2" t="str">
        <v>Número de documento</v>
      </c>
      <c r="D2" t="str">
        <v>Tipo propiedad</v>
      </c>
      <c r="E2" t="str">
        <v>Nomenclatura al interior del bien</v>
      </c>
      <c r="F2" t="str">
        <v>Beneficiario</v>
      </c>
      <c r="G2" t="str">
        <v>NIT</v>
      </c>
      <c r="H2" t="str">
        <v>Valor solicitado por el banco</v>
      </c>
      <c r="I2" t="str">
        <v xml:space="preserve">Valor asegurado daño material (Edificio + Cimientos + Muebles y enseres + Equipo electrónico + Maquinaria y equipo + Dineros) </v>
      </c>
      <c r="J2" t="str">
        <v>Coeficiente de cada apartamento</v>
      </c>
      <c r="K2" t="str">
        <v>Valor del apto por coeficiente</v>
      </c>
      <c r="L2" t="str">
        <v>Valor asegurado admitido con 20% adicional</v>
      </c>
      <c r="M2" t="str">
        <v>OBSERVACIONES CON PRIMER FILTRO</v>
      </c>
      <c r="N2" t="str">
        <v>Valor asegurado admitido con 40% adicional</v>
      </c>
      <c r="O2" t="str">
        <v>OBSERVACIONES CON SEGUNDO FILTRO</v>
      </c>
    </row>
    <row r="3">
      <c r="K3">
        <f>+I3*J3</f>
        <v>0</v>
      </c>
      <c r="L3">
        <f>+K3*1.2</f>
        <v>0</v>
      </c>
      <c r="M3" t="str" cm="1">
        <f t="array" ref="M3">IFS(H3&gt;L3,"No puede expedirse, No cumple con el parámetro",H3&lt;1,"Ups! Aún no diligencias la columna H",H3&lt;=L3,"Adelante!, cumple con el parámetro")</f>
        <v/>
      </c>
      <c r="N3">
        <f>IF(M3="No puede expedirse, No cumple con el parámetro",K3*1.4,0)</f>
        <v>0</v>
      </c>
      <c r="O3" t="str" cm="1">
        <f t="array" ref="O3">IFS(N3=0,"",H3&gt;N3,"No puede expedirse, No cumple con el parámetro. Debes enviar correo a Heller con justificación",H3&lt;1,"Ups! Aún no diligencias la columna H",H3&lt;=N3,"Adelante!, cumple con el parámetro, debes enviar correo a Natalia")</f>
        <v/>
      </c>
    </row>
    <row r="4">
      <c r="K4">
        <f>+I4*J4</f>
        <v>0</v>
      </c>
      <c r="L4">
        <f>+K4*1.2</f>
        <v>0</v>
      </c>
      <c r="M4" t="str" cm="1">
        <f t="array" ref="M4">IFS(H4&gt;L4,"No puede expedirse, No cumple con el parámetro",H4&lt;1,"Ups! Aún no diligencias la columna H",H4&lt;=L4,"Adelante!, cumple con el parámetro")</f>
        <v/>
      </c>
      <c r="N4">
        <f>IF(M4="No puede expedirse, No cumple con el parámetro",K4*1.4,0)</f>
        <v>0</v>
      </c>
      <c r="O4" t="str" cm="1">
        <f t="array" ref="O4">IFS(N4=0,"",H4&gt;N4,"No puede expedirse, No cumple con el parámetro. Debes enviar correo a Heller con justificación",H4&lt;1,"Ups! Aún no diligencias la columna H",H4&lt;=N4,"Adelante!, cumple con el parámetro, debes enviar correo a Natalia")</f>
        <v/>
      </c>
    </row>
    <row r="5">
      <c r="K5">
        <f>+I5*J5</f>
        <v>0</v>
      </c>
      <c r="L5">
        <f>+K5*1.2</f>
        <v>0</v>
      </c>
      <c r="M5" t="str" cm="1">
        <f t="array" ref="M5">IFS(H5&gt;L5,"No puede expedirse, No cumple con el parámetro",H5&lt;1,"Ups! Aún no diligencias la columna H",H5&lt;=L5,"Adelante!, cumple con el parámetro")</f>
        <v/>
      </c>
      <c r="N5">
        <f>IF(M5="No puede expedirse, No cumple con el parámetro",K5*1.4,0)</f>
        <v>0</v>
      </c>
      <c r="O5" t="str" cm="1">
        <f t="array" ref="O5">IFS(N5=0,"",H5&gt;N5,"No puede expedirse, No cumple con el parámetro. Debes enviar correo a Heller con justificación",H5&lt;1,"Ups! Aún no diligencias la columna H",H5&lt;=N5,"Adelante!, cumple con el parámetro, debes enviar correo a Natalia")</f>
        <v/>
      </c>
    </row>
    <row r="6">
      <c r="K6">
        <f>+I6*J6</f>
        <v>0</v>
      </c>
      <c r="L6">
        <f>+K6*1.2</f>
        <v>0</v>
      </c>
      <c r="M6" t="str" cm="1">
        <f t="array" ref="M6">IFS(H6&gt;L6,"No puede expedirse, No cumple con el parámetro",H6&lt;1,"Ups! Aún no diligencias la columna H",H6&lt;=L6,"Adelante!, cumple con el parámetro")</f>
        <v/>
      </c>
      <c r="N6">
        <f>IF(M6="No puede expedirse, No cumple con el parámetro",K6*1.4,0)</f>
        <v>0</v>
      </c>
      <c r="O6" t="str" cm="1">
        <f t="array" ref="O6">IFS(N6=0,"",H6&gt;N6,"No puede expedirse, No cumple con el parámetro. Debes enviar correo a Heller con justificación",H6&lt;1,"Ups! Aún no diligencias la columna H",H6&lt;=N6,"Adelante!, cumple con el parámetro, debes enviar correo a Natalia")</f>
        <v/>
      </c>
    </row>
    <row r="7">
      <c r="K7">
        <f>+I7*J7</f>
        <v>0</v>
      </c>
      <c r="L7">
        <f>+K7*1.2</f>
        <v>0</v>
      </c>
      <c r="M7" t="str" cm="1">
        <f t="array" ref="M7">IFS(H7&gt;L7,"No puede expedirse, No cumple con el parámetro",H7&lt;1,"Ups! Aún no diligencias la columna H",H7&lt;=L7,"Adelante!, cumple con el parámetro")</f>
        <v/>
      </c>
      <c r="N7">
        <f>IF(M7="No puede expedirse, No cumple con el parámetro",K7*1.4,0)</f>
        <v>0</v>
      </c>
      <c r="O7" t="str" cm="1">
        <f t="array" ref="O7">IFS(N7=0,"",H7&gt;N7,"No puede expedirse, No cumple con el parámetro. Debes enviar correo a Heller con justificación",H7&lt;1,"Ups! Aún no diligencias la columna H",H7&lt;=N7,"Adelante!, cumple con el parámetro, debes enviar correo a Natalia")</f>
        <v/>
      </c>
    </row>
    <row r="8">
      <c r="K8">
        <f>+I8*J8</f>
        <v>0</v>
      </c>
      <c r="L8">
        <f>+K8*1.2</f>
        <v>0</v>
      </c>
      <c r="M8" t="str" cm="1">
        <f t="array" ref="M8">IFS(H8&gt;L8,"No puede expedirse, No cumple con el parámetro",H8&lt;1,"Ups! Aún no diligencias la columna H",H8&lt;=L8,"Adelante!, cumple con el parámetro")</f>
        <v/>
      </c>
      <c r="N8">
        <f>IF(M8="No puede expedirse, No cumple con el parámetro",K8*1.4,0)</f>
        <v>0</v>
      </c>
      <c r="O8" t="str" cm="1">
        <f t="array" ref="O8">IFS(N8=0,"",H8&gt;N8,"No puede expedirse, No cumple con el parámetro. Debes enviar correo a Heller con justificación",H8&lt;1,"Ups! Aún no diligencias la columna H",H8&lt;=N8,"Adelante!, cumple con el parámetro, debes enviar correo a Natalia")</f>
        <v/>
      </c>
    </row>
    <row r="9">
      <c r="K9">
        <f>+I9*J9</f>
        <v>0</v>
      </c>
      <c r="L9">
        <f>+K9*1.2</f>
        <v>0</v>
      </c>
      <c r="M9" t="str" cm="1">
        <f t="array" ref="M9">IFS(H9&gt;L9,"No puede expedirse, No cumple con el parámetro",H9&lt;1,"Ups! Aún no diligencias la columna H",H9&lt;=L9,"Adelante!, cumple con el parámetro")</f>
        <v/>
      </c>
      <c r="N9">
        <f>IF(M9="No puede expedirse, No cumple con el parámetro",K9*1.4,0)</f>
        <v>0</v>
      </c>
      <c r="O9" t="str" cm="1">
        <f t="array" ref="O9">IFS(N9=0,"",H9&gt;N9,"No puede expedirse, No cumple con el parámetro. Debes enviar correo a Heller con justificación",H9&lt;1,"Ups! Aún no diligencias la columna H",H9&lt;=N9,"Adelante!, cumple con el parámetro, debes enviar correo a Natalia")</f>
        <v/>
      </c>
    </row>
    <row r="10">
      <c r="K10">
        <f>+I10*J10</f>
        <v>0</v>
      </c>
      <c r="L10">
        <f>+K10*1.2</f>
        <v>0</v>
      </c>
      <c r="M10" t="str" cm="1">
        <f t="array" ref="M10">IFS(H10&gt;L10,"No puede expedirse, No cumple con el parámetro",H10&lt;1,"Ups! Aún no diligencias la columna H",H10&lt;=L10,"Adelante!, cumple con el parámetro")</f>
        <v/>
      </c>
      <c r="N10">
        <f>IF(M10="No puede expedirse, No cumple con el parámetro",K10*1.4,0)</f>
        <v>0</v>
      </c>
      <c r="O10" t="str" cm="1">
        <f t="array" ref="O10">IFS(N10=0,"",H10&gt;N10,"No puede expedirse, No cumple con el parámetro. Debes enviar correo a Heller con justificación",H10&lt;1,"Ups! Aún no diligencias la columna H",H10&lt;=N10,"Adelante!, cumple con el parámetro, debes enviar correo a Natalia")</f>
        <v/>
      </c>
    </row>
    <row r="11">
      <c r="K11">
        <f>+I11*J11</f>
        <v>0</v>
      </c>
      <c r="L11">
        <f>+K11*1.2</f>
        <v>0</v>
      </c>
      <c r="M11" t="str" cm="1">
        <f t="array" ref="M11">IFS(H11&gt;L11,"No puede expedirse, No cumple con el parámetro",H11&lt;1,"Ups! Aún no diligencias la columna H",H11&lt;=L11,"Adelante!, cumple con el parámetro")</f>
        <v/>
      </c>
      <c r="N11">
        <f>IF(M11="No puede expedirse, No cumple con el parámetro",K11*1.4,0)</f>
        <v>0</v>
      </c>
      <c r="O11" t="str" cm="1">
        <f t="array" ref="O11">IFS(N11=0,"",H11&gt;N11,"No puede expedirse, No cumple con el parámetro. Debes enviar correo a Heller con justificación",H11&lt;1,"Ups! Aún no diligencias la columna H",H11&lt;=N11,"Adelante!, cumple con el parámetro, debes enviar correo a Natalia")</f>
        <v/>
      </c>
    </row>
    <row r="12">
      <c r="K12">
        <f>+I12*J12</f>
        <v>0</v>
      </c>
      <c r="L12">
        <f>+K12*1.2</f>
        <v>0</v>
      </c>
      <c r="M12" t="str" cm="1">
        <f t="array" ref="M12">IFS(H12&gt;L12,"No puede expedirse, No cumple con el parámetro",H12&lt;1,"Ups! Aún no diligencias la columna H",H12&lt;=L12,"Adelante!, cumple con el parámetro")</f>
        <v/>
      </c>
      <c r="N12">
        <f>IF(M12="No puede expedirse, No cumple con el parámetro",K12*1.4,0)</f>
        <v>0</v>
      </c>
      <c r="O12" t="str" cm="1">
        <f t="array" ref="O12">IFS(N12=0,"",H12&gt;N12,"No puede expedirse, No cumple con el parámetro. Debes enviar correo a Heller con justificación",H12&lt;1,"Ups! Aún no diligencias la columna H",H12&lt;=N12,"Adelante!, cumple con el parámetro, debes enviar correo a Natalia")</f>
        <v/>
      </c>
    </row>
    <row r="13">
      <c r="K13">
        <f>+I13*J13</f>
        <v>0</v>
      </c>
      <c r="L13">
        <f>+K13*1.2</f>
        <v>0</v>
      </c>
      <c r="M13" t="str" cm="1">
        <f t="array" ref="M13">IFS(H13&gt;L13,"No puede expedirse, No cumple con el parámetro",H13&lt;1,"Ups! Aún no diligencias la columna H",H13&lt;=L13,"Adelante!, cumple con el parámetro")</f>
        <v/>
      </c>
      <c r="N13">
        <f>IF(M13="No puede expedirse, No cumple con el parámetro",K13*1.4,0)</f>
        <v>0</v>
      </c>
      <c r="O13" t="str" cm="1">
        <f t="array" ref="O13">IFS(N13=0,"",H13&gt;N13,"No puede expedirse, No cumple con el parámetro. Debes enviar correo a Heller con justificación",H13&lt;1,"Ups! Aún no diligencias la columna H",H13&lt;=N13,"Adelante!, cumple con el parámetro, debes enviar correo a Natalia")</f>
        <v/>
      </c>
    </row>
    <row r="14">
      <c r="K14">
        <f>+I14*J14</f>
        <v>0</v>
      </c>
      <c r="L14">
        <f>+K14*1.2</f>
        <v>0</v>
      </c>
      <c r="M14" t="str" cm="1">
        <f t="array" ref="M14">IFS(H14&gt;L14,"No puede expedirse, No cumple con el parámetro",H14&lt;1,"Ups! Aún no diligencias la columna H",H14&lt;=L14,"Adelante!, cumple con el parámetro")</f>
        <v/>
      </c>
      <c r="N14">
        <f>IF(M14="No puede expedirse, No cumple con el parámetro",K14*1.4,0)</f>
        <v>0</v>
      </c>
      <c r="O14" t="str" cm="1">
        <f t="array" ref="O14">IFS(N14=0,"",H14&gt;N14,"No puede expedirse, No cumple con el parámetro. Debes enviar correo a Heller con justificación",H14&lt;1,"Ups! Aún no diligencias la columna H",H14&lt;=N14,"Adelante!, cumple con el parámetro, debes enviar correo a Natalia")</f>
        <v/>
      </c>
    </row>
    <row r="15">
      <c r="K15">
        <f>+I15*J15</f>
        <v>0</v>
      </c>
      <c r="L15">
        <f>+K15*1.2</f>
        <v>0</v>
      </c>
      <c r="M15" t="str" cm="1">
        <f t="array" ref="M15">IFS(H15&gt;L15,"No puede expedirse, No cumple con el parámetro",H15&lt;1,"Ups! Aún no diligencias la columna H",H15&lt;=L15,"Adelante!, cumple con el parámetro")</f>
        <v/>
      </c>
      <c r="N15">
        <f>IF(M15="No puede expedirse, No cumple con el parámetro",K15*1.4,0)</f>
        <v>0</v>
      </c>
      <c r="O15" t="str" cm="1">
        <f t="array" ref="O15">IFS(N15=0,"",H15&gt;N15,"No puede expedirse, No cumple con el parámetro. Debes enviar correo a Heller con justificación",H15&lt;1,"Ups! Aún no diligencias la columna H",H15&lt;=N15,"Adelante!, cumple con el parámetro, debes enviar correo a Natalia")</f>
        <v/>
      </c>
    </row>
    <row r="16">
      <c r="K16">
        <f>+I16*J16</f>
        <v>0</v>
      </c>
      <c r="L16">
        <f>+K16*1.2</f>
        <v>0</v>
      </c>
      <c r="M16" t="str" cm="1">
        <f t="array" ref="M16">IFS(H16&gt;L16,"No puede expedirse, No cumple con el parámetro",H16&lt;1,"Ups! Aún no diligencias la columna H",H16&lt;=L16,"Adelante!, cumple con el parámetro")</f>
        <v/>
      </c>
      <c r="N16">
        <f>IF(M16="No puede expedirse, No cumple con el parámetro",K16*1.4,0)</f>
        <v>0</v>
      </c>
      <c r="O16" t="str" cm="1">
        <f t="array" ref="O16">IFS(N16=0,"",H16&gt;N16,"No puede expedirse, No cumple con el parámetro. Debes enviar correo a Heller con justificación",H16&lt;1,"Ups! Aún no diligencias la columna H",H16&lt;=N16,"Adelante!, cumple con el parámetro, debes enviar correo a Natalia")</f>
        <v/>
      </c>
    </row>
    <row r="17">
      <c r="K17">
        <f>+I17*J17</f>
        <v>0</v>
      </c>
      <c r="L17">
        <f>+K17*1.2</f>
        <v>0</v>
      </c>
      <c r="M17" t="str" cm="1">
        <f t="array" ref="M17">IFS(H17&gt;L17,"No puede expedirse, No cumple con el parámetro",H17&lt;1,"Ups! Aún no diligencias la columna H",H17&lt;=L17,"Adelante!, cumple con el parámetro")</f>
        <v/>
      </c>
      <c r="N17">
        <f>IF(M17="No puede expedirse, No cumple con el parámetro",K17*1.4,0)</f>
        <v>0</v>
      </c>
      <c r="O17" t="str" cm="1">
        <f t="array" ref="O17">IFS(N17=0,"",H17&gt;N17,"No puede expedirse, No cumple con el parámetro. Debes enviar correo a Heller con justificación",H17&lt;1,"Ups! Aún no diligencias la columna H",H17&lt;=N17,"Adelante!, cumple con el parámetro, debes enviar correo a Natalia")</f>
        <v/>
      </c>
    </row>
    <row r="18">
      <c r="K18">
        <f>+I18*J18</f>
        <v>0</v>
      </c>
      <c r="L18">
        <f>+K18*1.2</f>
        <v>0</v>
      </c>
      <c r="M18" t="str" cm="1">
        <f t="array" ref="M18">IFS(H18&gt;L18,"No puede expedirse, No cumple con el parámetro",H18&lt;1,"Ups! Aún no diligencias la columna H",H18&lt;=L18,"Adelante!, cumple con el parámetro")</f>
        <v/>
      </c>
      <c r="N18">
        <f>IF(M18="No puede expedirse, No cumple con el parámetro",K18*1.4,0)</f>
        <v>0</v>
      </c>
      <c r="O18" t="str" cm="1">
        <f t="array" ref="O18">IFS(N18=0,"",H18&gt;N18,"No puede expedirse, No cumple con el parámetro. Debes enviar correo a Heller con justificación",H18&lt;1,"Ups! Aún no diligencias la columna H",H18&lt;=N18,"Adelante!, cumple con el parámetro, debes enviar correo a Natalia")</f>
        <v/>
      </c>
    </row>
    <row r="19">
      <c r="K19">
        <f>+I19*J19</f>
        <v>0</v>
      </c>
      <c r="L19">
        <f>+K19*1.2</f>
        <v>0</v>
      </c>
      <c r="M19" t="str" cm="1">
        <f t="array" ref="M19">IFS(H19&gt;L19,"No puede expedirse, No cumple con el parámetro",H19&lt;1,"Ups! Aún no diligencias la columna H",H19&lt;=L19,"Adelante!, cumple con el parámetro")</f>
        <v/>
      </c>
      <c r="N19">
        <f>IF(M19="No puede expedirse, No cumple con el parámetro",K19*1.4,0)</f>
        <v>0</v>
      </c>
      <c r="O19" t="str" cm="1">
        <f t="array" ref="O19">IFS(N19=0,"",H19&gt;N19,"No puede expedirse, No cumple con el parámetro. Debes enviar correo a Heller con justificación",H19&lt;1,"Ups! Aún no diligencias la columna H",H19&lt;=N19,"Adelante!, cumple con el parámetro, debes enviar correo a Natalia")</f>
        <v/>
      </c>
    </row>
    <row r="20">
      <c r="K20">
        <f>+I20*J20</f>
        <v>0</v>
      </c>
      <c r="L20">
        <f>+K20*1.2</f>
        <v>0</v>
      </c>
      <c r="M20" t="str" cm="1">
        <f t="array" ref="M20">IFS(H20&gt;L20,"No puede expedirse, No cumple con el parámetro",H20&lt;1,"Ups! Aún no diligencias la columna H",H20&lt;=L20,"Adelante!, cumple con el parámetro")</f>
        <v/>
      </c>
      <c r="N20">
        <f>IF(M20="No puede expedirse, No cumple con el parámetro",K20*1.4,0)</f>
        <v>0</v>
      </c>
      <c r="O20" t="str" cm="1">
        <f t="array" ref="O20">IFS(N20=0,"",H20&gt;N20,"No puede expedirse, No cumple con el parámetro. Debes enviar correo a Heller con justificación",H20&lt;1,"Ups! Aún no diligencias la columna H",H20&lt;=N20,"Adelante!, cumple con el parámetro, debes enviar correo a Natalia")</f>
        <v/>
      </c>
    </row>
    <row r="21">
      <c r="K21">
        <f>+I21*J21</f>
        <v>0</v>
      </c>
      <c r="L21">
        <f>+K21*1.2</f>
        <v>0</v>
      </c>
      <c r="M21" t="str" cm="1">
        <f t="array" ref="M21">IFS(H21&gt;L21,"No puede expedirse, No cumple con el parámetro",H21&lt;1,"Ups! Aún no diligencias la columna H",H21&lt;=L21,"Adelante!, cumple con el parámetro")</f>
        <v/>
      </c>
      <c r="N21">
        <f>IF(M21="No puede expedirse, No cumple con el parámetro",K21*1.4,0)</f>
        <v>0</v>
      </c>
      <c r="O21" t="str" cm="1">
        <f t="array" ref="O21">IFS(N21=0,"",H21&gt;N21,"No puede expedirse, No cumple con el parámetro. Debes enviar correo a Heller con justificación",H21&lt;1,"Ups! Aún no diligencias la columna H",H21&lt;=N21,"Adelante!, cumple con el parámetro, debes enviar correo a Natalia")</f>
        <v/>
      </c>
    </row>
    <row r="22">
      <c r="K22">
        <f>+I22*J22</f>
        <v>0</v>
      </c>
      <c r="L22">
        <f>+K22*1.2</f>
        <v>0</v>
      </c>
      <c r="M22" t="str" cm="1">
        <f t="array" ref="M22">IFS(H22&gt;L22,"No puede expedirse, No cumple con el parámetro",H22&lt;1,"Ups! Aún no diligencias la columna H",H22&lt;=L22,"Adelante!, cumple con el parámetro")</f>
        <v/>
      </c>
      <c r="N22">
        <f>IF(M22="No puede expedirse, No cumple con el parámetro",K22*1.4,0)</f>
        <v>0</v>
      </c>
      <c r="O22" t="str" cm="1">
        <f t="array" ref="O22">IFS(N22=0,"",H22&gt;N22,"No puede expedirse, No cumple con el parámetro. Debes enviar correo a Heller con justificación",H22&lt;1,"Ups! Aún no diligencias la columna H",H22&lt;=N22,"Adelante!, cumple con el parámetro, debes enviar correo a Natalia")</f>
        <v/>
      </c>
    </row>
    <row r="23">
      <c r="K23">
        <f>+I23*J23</f>
        <v>0</v>
      </c>
      <c r="L23">
        <f>+K23*1.2</f>
        <v>0</v>
      </c>
      <c r="M23" t="str" cm="1">
        <f t="array" ref="M23">IFS(H23&gt;L23,"No puede expedirse, No cumple con el parámetro",H23&lt;1,"Ups! Aún no diligencias la columna H",H23&lt;=L23,"Adelante!, cumple con el parámetro")</f>
        <v/>
      </c>
      <c r="N23">
        <f>IF(M23="No puede expedirse, No cumple con el parámetro",K23*1.4,0)</f>
        <v>0</v>
      </c>
      <c r="O23" t="str" cm="1">
        <f t="array" ref="O23">IFS(N23=0,"",H23&gt;N23,"No puede expedirse, No cumple con el parámetro. Debes enviar correo a Heller con justificación",H23&lt;1,"Ups! Aún no diligencias la columna H",H23&lt;=N23,"Adelante!, cumple con el parámetro, debes enviar correo a Natalia")</f>
        <v/>
      </c>
    </row>
    <row r="24">
      <c r="K24">
        <f>+I24*J24</f>
        <v>0</v>
      </c>
      <c r="L24">
        <f>+K24*1.2</f>
        <v>0</v>
      </c>
      <c r="M24" t="str" cm="1">
        <f t="array" ref="M24">IFS(H24&gt;L24,"No puede expedirse, No cumple con el parámetro",H24&lt;1,"Ups! Aún no diligencias la columna H",H24&lt;=L24,"Adelante!, cumple con el parámetro")</f>
        <v/>
      </c>
      <c r="N24">
        <f>IF(M24="No puede expedirse, No cumple con el parámetro",K24*1.4,0)</f>
        <v>0</v>
      </c>
      <c r="O24" t="str" cm="1">
        <f t="array" ref="O24">IFS(N24=0,"",H24&gt;N24,"No puede expedirse, No cumple con el parámetro. Debes enviar correo a Heller con justificación",H24&lt;1,"Ups! Aún no diligencias la columna H",H24&lt;=N24,"Adelante!, cumple con el parámetro, debes enviar correo a Natalia")</f>
        <v/>
      </c>
    </row>
    <row r="25">
      <c r="K25">
        <f>+I25*J25</f>
        <v>0</v>
      </c>
      <c r="L25">
        <f>+K25*1.2</f>
        <v>0</v>
      </c>
      <c r="M25" t="str" cm="1">
        <f t="array" ref="M25">IFS(H25&gt;L25,"No puede expedirse, No cumple con el parámetro",H25&lt;1,"Ups! Aún no diligencias la columna H",H25&lt;=L25,"Adelante!, cumple con el parámetro")</f>
        <v/>
      </c>
      <c r="N25">
        <f>IF(M25="No puede expedirse, No cumple con el parámetro",K25*1.4,0)</f>
        <v>0</v>
      </c>
      <c r="O25" t="str" cm="1">
        <f t="array" ref="O25">IFS(N25=0,"",H25&gt;N25,"No puede expedirse, No cumple con el parámetro. Debes enviar correo a Heller con justificación",H25&lt;1,"Ups! Aún no diligencias la columna H",H25&lt;=N25,"Adelante!, cumple con el parámetro, debes enviar correo a Natalia")</f>
        <v/>
      </c>
    </row>
    <row r="26">
      <c r="K26">
        <f>+I26*J26</f>
        <v>0</v>
      </c>
      <c r="L26">
        <f>+K26*1.2</f>
        <v>0</v>
      </c>
      <c r="M26" t="str" cm="1">
        <f t="array" ref="M26">IFS(H26&gt;L26,"No puede expedirse, No cumple con el parámetro",H26&lt;1,"Ups! Aún no diligencias la columna H",H26&lt;=L26,"Adelante!, cumple con el parámetro")</f>
        <v/>
      </c>
      <c r="N26">
        <f>IF(M26="No puede expedirse, No cumple con el parámetro",K26*1.4,0)</f>
        <v>0</v>
      </c>
      <c r="O26" t="str" cm="1">
        <f t="array" ref="O26">IFS(N26=0,"",H26&gt;N26,"No puede expedirse, No cumple con el parámetro. Debes enviar correo a Heller con justificación",H26&lt;1,"Ups! Aún no diligencias la columna H",H26&lt;=N26,"Adelante!, cumple con el parámetro, debes enviar correo a Natalia")</f>
        <v/>
      </c>
    </row>
    <row r="27">
      <c r="K27">
        <f>+I27*J27</f>
        <v>0</v>
      </c>
      <c r="L27">
        <f>+K27*1.2</f>
        <v>0</v>
      </c>
      <c r="M27" t="str" cm="1">
        <f t="array" ref="M27">IFS(H27&gt;L27,"No puede expedirse, No cumple con el parámetro",H27&lt;1,"Ups! Aún no diligencias la columna H",H27&lt;=L27,"Adelante!, cumple con el parámetro")</f>
        <v/>
      </c>
      <c r="N27">
        <f>IF(M27="No puede expedirse, No cumple con el parámetro",K27*1.4,0)</f>
        <v>0</v>
      </c>
      <c r="O27" t="str" cm="1">
        <f t="array" ref="O27">IFS(N27=0,"",H27&gt;N27,"No puede expedirse, No cumple con el parámetro. Debes enviar correo a Heller con justificación",H27&lt;1,"Ups! Aún no diligencias la columna H",H27&lt;=N27,"Adelante!, cumple con el parámetro, debes enviar correo a Natalia")</f>
        <v/>
      </c>
    </row>
    <row r="28">
      <c r="K28">
        <f>+I28*J28</f>
        <v>0</v>
      </c>
      <c r="L28">
        <f>+K28*1.2</f>
        <v>0</v>
      </c>
      <c r="M28" t="str" cm="1">
        <f t="array" ref="M28">IFS(H28&gt;L28,"No puede expedirse, No cumple con el parámetro",H28&lt;1,"Ups! Aún no diligencias la columna H",H28&lt;=L28,"Adelante!, cumple con el parámetro")</f>
        <v/>
      </c>
      <c r="N28">
        <f>IF(M28="No puede expedirse, No cumple con el parámetro",K28*1.4,0)</f>
        <v>0</v>
      </c>
      <c r="O28" t="str" cm="1">
        <f t="array" ref="O28">IFS(N28=0,"",H28&gt;N28,"No puede expedirse, No cumple con el parámetro. Debes enviar correo a Heller con justificación",H28&lt;1,"Ups! Aún no diligencias la columna H",H28&lt;=N28,"Adelante!, cumple con el parámetro, debes enviar correo a Natalia")</f>
        <v/>
      </c>
    </row>
    <row r="29">
      <c r="K29">
        <f>+I29*J29</f>
        <v>0</v>
      </c>
      <c r="L29">
        <f>+K29*1.2</f>
        <v>0</v>
      </c>
      <c r="M29" t="str" cm="1">
        <f t="array" ref="M29">IFS(H29&gt;L29,"No puede expedirse, No cumple con el parámetro",H29&lt;1,"Ups! Aún no diligencias la columna H",H29&lt;=L29,"Adelante!, cumple con el parámetro")</f>
        <v/>
      </c>
      <c r="N29">
        <f>IF(M29="No puede expedirse, No cumple con el parámetro",K29*1.4,0)</f>
        <v>0</v>
      </c>
      <c r="O29" t="str" cm="1">
        <f t="array" ref="O29">IFS(N29=0,"",H29&gt;N29,"No puede expedirse, No cumple con el parámetro. Debes enviar correo a Heller con justificación",H29&lt;1,"Ups! Aún no diligencias la columna H",H29&lt;=N29,"Adelante!, cumple con el parámetro, debes enviar correo a Natalia")</f>
        <v/>
      </c>
    </row>
    <row r="30">
      <c r="K30">
        <f>+I30*J30</f>
        <v>0</v>
      </c>
      <c r="L30">
        <f>+K30*1.2</f>
        <v>0</v>
      </c>
      <c r="M30" t="str" cm="1">
        <f t="array" ref="M30">IFS(H30&gt;L30,"No puede expedirse, No cumple con el parámetro",H30&lt;1,"Ups! Aún no diligencias la columna H",H30&lt;=L30,"Adelante!, cumple con el parámetro")</f>
        <v/>
      </c>
      <c r="N30">
        <f>IF(M30="No puede expedirse, No cumple con el parámetro",K30*1.4,0)</f>
        <v>0</v>
      </c>
      <c r="O30" t="str" cm="1">
        <f t="array" ref="O30">IFS(N30=0,"",H30&gt;N30,"No puede expedirse, No cumple con el parámetro. Debes enviar correo a Heller con justificación",H30&lt;1,"Ups! Aún no diligencias la columna H",H30&lt;=N30,"Adelante!, cumple con el parámetro, debes enviar correo a Natalia")</f>
        <v/>
      </c>
    </row>
    <row r="31">
      <c r="K31">
        <f>+I31*J31</f>
        <v>0</v>
      </c>
      <c r="L31">
        <f>+K31*1.2</f>
        <v>0</v>
      </c>
      <c r="M31" t="str" cm="1">
        <f t="array" ref="M31">IFS(H31&gt;L31,"No puede expedirse, No cumple con el parámetro",H31&lt;1,"Ups! Aún no diligencias la columna H",H31&lt;=L31,"Adelante!, cumple con el parámetro")</f>
        <v/>
      </c>
      <c r="N31">
        <f>IF(M31="No puede expedirse, No cumple con el parámetro",K31*1.4,0)</f>
        <v>0</v>
      </c>
      <c r="O31" t="str" cm="1">
        <f t="array" ref="O31">IFS(N31=0,"",H31&gt;N31,"No puede expedirse, No cumple con el parámetro. Debes enviar correo a Heller con justificación",H31&lt;1,"Ups! Aún no diligencias la columna H",H31&lt;=N31,"Adelante!, cumple con el parámetro, debes enviar correo a Natalia")</f>
        <v/>
      </c>
    </row>
    <row r="32">
      <c r="K32">
        <f>+I32*J32</f>
        <v>0</v>
      </c>
      <c r="L32">
        <f>+K32*1.2</f>
        <v>0</v>
      </c>
      <c r="M32" t="str" cm="1">
        <f t="array" ref="M32">IFS(H32&gt;L32,"No puede expedirse, No cumple con el parámetro",H32&lt;1,"Ups! Aún no diligencias la columna H",H32&lt;=L32,"Adelante!, cumple con el parámetro")</f>
        <v/>
      </c>
      <c r="N32">
        <f>IF(M32="No puede expedirse, No cumple con el parámetro",K32*1.4,0)</f>
        <v>0</v>
      </c>
      <c r="O32" t="str" cm="1">
        <f t="array" ref="O32">IFS(N32=0,"",H32&gt;N32,"No puede expedirse, No cumple con el parámetro. Debes enviar correo a Heller con justificación",H32&lt;1,"Ups! Aún no diligencias la columna H",H32&lt;=N32,"Adelante!, cumple con el parámetro, debes enviar correo a Natalia")</f>
        <v/>
      </c>
    </row>
    <row r="33">
      <c r="K33">
        <f>+I33*J33</f>
        <v>0</v>
      </c>
      <c r="L33">
        <f>+K33*1.2</f>
        <v>0</v>
      </c>
      <c r="M33" t="str" cm="1">
        <f t="array" ref="M33">IFS(H33&gt;L33,"No puede expedirse, No cumple con el parámetro",H33&lt;1,"Ups! Aún no diligencias la columna H",H33&lt;=L33,"Adelante!, cumple con el parámetro")</f>
        <v/>
      </c>
      <c r="N33">
        <f>IF(M33="No puede expedirse, No cumple con el parámetro",K33*1.4,0)</f>
        <v>0</v>
      </c>
      <c r="O33" t="str" cm="1">
        <f t="array" ref="O33">IFS(N33=0,"",H33&gt;N33,"No puede expedirse, No cumple con el parámetro. Debes enviar correo a Heller con justificación",H33&lt;1,"Ups! Aún no diligencias la columna H",H33&lt;=N33,"Adelante!, cumple con el parámetro, debes enviar correo a Natalia")</f>
        <v/>
      </c>
    </row>
    <row r="34">
      <c r="K34">
        <f>+I34*J34</f>
        <v>0</v>
      </c>
      <c r="L34">
        <f>+K34*1.2</f>
        <v>0</v>
      </c>
      <c r="M34" t="str" cm="1">
        <f t="array" ref="M34">IFS(H34&gt;L34,"No puede expedirse, No cumple con el parámetro",H34&lt;1,"Ups! Aún no diligencias la columna H",H34&lt;=L34,"Adelante!, cumple con el parámetro")</f>
        <v/>
      </c>
      <c r="N34">
        <f>IF(M34="No puede expedirse, No cumple con el parámetro",K34*1.4,0)</f>
        <v>0</v>
      </c>
      <c r="O34" t="str" cm="1">
        <f t="array" ref="O34">IFS(N34=0,"",H34&gt;N34,"No puede expedirse, No cumple con el parámetro. Debes enviar correo a Heller con justificación",H34&lt;1,"Ups! Aún no diligencias la columna H",H34&lt;=N34,"Adelante!, cumple con el parámetro, debes enviar correo a Natalia")</f>
        <v/>
      </c>
    </row>
    <row r="35">
      <c r="K35">
        <f>+I35*J35</f>
        <v>0</v>
      </c>
      <c r="L35">
        <f>+K35*1.2</f>
        <v>0</v>
      </c>
      <c r="M35" t="str" cm="1">
        <f t="array" ref="M35">IFS(H35&gt;L35,"No puede expedirse, No cumple con el parámetro",H35&lt;1,"Ups! Aún no diligencias la columna H",H35&lt;=L35,"Adelante!, cumple con el parámetro")</f>
        <v/>
      </c>
      <c r="N35">
        <f>IF(M35="No puede expedirse, No cumple con el parámetro",K35*1.4,0)</f>
        <v>0</v>
      </c>
      <c r="O35" t="str" cm="1">
        <f t="array" ref="O35">IFS(N35=0,"",H35&gt;N35,"No puede expedirse, No cumple con el parámetro. Debes enviar correo a Heller con justificación",H35&lt;1,"Ups! Aún no diligencias la columna H",H35&lt;=N35,"Adelante!, cumple con el parámetro, debes enviar correo a Natalia")</f>
        <v/>
      </c>
    </row>
    <row r="36">
      <c r="K36">
        <f>+I36*J36</f>
        <v>0</v>
      </c>
      <c r="L36">
        <f>+K36*1.2</f>
        <v>0</v>
      </c>
      <c r="M36" t="str" cm="1">
        <f t="array" ref="M36">IFS(H36&gt;L36,"No puede expedirse, No cumple con el parámetro",H36&lt;1,"Ups! Aún no diligencias la columna H",H36&lt;=L36,"Adelante!, cumple con el parámetro")</f>
        <v/>
      </c>
      <c r="N36">
        <f>IF(M36="No puede expedirse, No cumple con el parámetro",K36*1.4,0)</f>
        <v>0</v>
      </c>
      <c r="O36" t="str" cm="1">
        <f t="array" ref="O36">IFS(N36=0,"",H36&gt;N36,"No puede expedirse, No cumple con el parámetro. Debes enviar correo a Heller con justificación",H36&lt;1,"Ups! Aún no diligencias la columna H",H36&lt;=N36,"Adelante!, cumple con el parámetro, debes enviar correo a Natalia")</f>
        <v/>
      </c>
    </row>
    <row r="37">
      <c r="K37">
        <f>+I37*J37</f>
        <v>0</v>
      </c>
      <c r="L37">
        <f>+K37*1.2</f>
        <v>0</v>
      </c>
      <c r="M37" t="str" cm="1">
        <f t="array" ref="M37">IFS(H37&gt;L37,"No puede expedirse, No cumple con el parámetro",H37&lt;1,"Ups! Aún no diligencias la columna H",H37&lt;=L37,"Adelante!, cumple con el parámetro")</f>
        <v/>
      </c>
      <c r="N37">
        <f>IF(M37="No puede expedirse, No cumple con el parámetro",K37*1.4,0)</f>
        <v>0</v>
      </c>
      <c r="O37" t="str" cm="1">
        <f t="array" ref="O37">IFS(N37=0,"",H37&gt;N37,"No puede expedirse, No cumple con el parámetro. Debes enviar correo a Heller con justificación",H37&lt;1,"Ups! Aún no diligencias la columna H",H37&lt;=N37,"Adelante!, cumple con el parámetro, debes enviar correo a Natalia")</f>
        <v/>
      </c>
    </row>
    <row r="38">
      <c r="K38">
        <f>+I38*J38</f>
        <v>0</v>
      </c>
      <c r="L38">
        <f>+K38*1.2</f>
        <v>0</v>
      </c>
      <c r="M38" t="str" cm="1">
        <f t="array" ref="M38">IFS(H38&gt;L38,"No puede expedirse, No cumple con el parámetro",H38&lt;1,"Ups! Aún no diligencias la columna H",H38&lt;=L38,"Adelante!, cumple con el parámetro")</f>
        <v/>
      </c>
      <c r="N38">
        <f>IF(M38="No puede expedirse, No cumple con el parámetro",K38*1.4,0)</f>
        <v>0</v>
      </c>
      <c r="O38" t="str" cm="1">
        <f t="array" ref="O38">IFS(N38=0,"",H38&gt;N38,"No puede expedirse, No cumple con el parámetro. Debes enviar correo a Heller con justificación",H38&lt;1,"Ups! Aún no diligencias la columna H",H38&lt;=N38,"Adelante!, cumple con el parámetro, debes enviar correo a Natalia")</f>
        <v/>
      </c>
    </row>
    <row r="39">
      <c r="K39">
        <f>+I39*J39</f>
        <v>0</v>
      </c>
      <c r="L39">
        <f>+K39*1.2</f>
        <v>0</v>
      </c>
      <c r="M39" t="str" cm="1">
        <f t="array" ref="M39">IFS(H39&gt;L39,"No puede expedirse, No cumple con el parámetro",H39&lt;1,"Ups! Aún no diligencias la columna H",H39&lt;=L39,"Adelante!, cumple con el parámetro")</f>
        <v/>
      </c>
      <c r="N39">
        <f>IF(M39="No puede expedirse, No cumple con el parámetro",K39*1.4,0)</f>
        <v>0</v>
      </c>
      <c r="O39" t="str" cm="1">
        <f t="array" ref="O39">IFS(N39=0,"",H39&gt;N39,"No puede expedirse, No cumple con el parámetro. Debes enviar correo a Heller con justificación",H39&lt;1,"Ups! Aún no diligencias la columna H",H39&lt;=N39,"Adelante!, cumple con el parámetro, debes enviar correo a Natalia")</f>
        <v/>
      </c>
    </row>
    <row r="40">
      <c r="K40">
        <f>+I40*J40</f>
        <v>0</v>
      </c>
      <c r="L40">
        <f>+K40*1.2</f>
        <v>0</v>
      </c>
      <c r="M40" t="str" cm="1">
        <f t="array" ref="M40">IFS(H40&gt;L40,"No puede expedirse, No cumple con el parámetro",H40&lt;1,"Ups! Aún no diligencias la columna H",H40&lt;=L40,"Adelante!, cumple con el parámetro")</f>
        <v/>
      </c>
      <c r="N40">
        <f>IF(M40="No puede expedirse, No cumple con el parámetro",K40*1.4,0)</f>
        <v>0</v>
      </c>
      <c r="O40" t="str" cm="1">
        <f t="array" ref="O40">IFS(N40=0,"",H40&gt;N40,"No puede expedirse, No cumple con el parámetro. Debes enviar correo a Heller con justificación",H40&lt;1,"Ups! Aún no diligencias la columna H",H40&lt;=N40,"Adelante!, cumple con el parámetro, debes enviar correo a Natalia")</f>
        <v/>
      </c>
    </row>
    <row r="41">
      <c r="K41">
        <f>+I41*J41</f>
        <v>0</v>
      </c>
      <c r="L41">
        <f>+K41*1.2</f>
        <v>0</v>
      </c>
      <c r="M41" t="str" cm="1">
        <f t="array" ref="M41">IFS(H41&gt;L41,"No puede expedirse, No cumple con el parámetro",H41&lt;1,"Ups! Aún no diligencias la columna H",H41&lt;=L41,"Adelante!, cumple con el parámetro")</f>
        <v/>
      </c>
      <c r="N41">
        <f>IF(M41="No puede expedirse, No cumple con el parámetro",K41*1.4,0)</f>
        <v>0</v>
      </c>
      <c r="O41" t="str" cm="1">
        <f t="array" ref="O41">IFS(N41=0,"",H41&gt;N41,"No puede expedirse, No cumple con el parámetro. Debes enviar correo a Heller con justificación",H41&lt;1,"Ups! Aún no diligencias la columna H",H41&lt;=N41,"Adelante!, cumple con el parámetro, debes enviar correo a Natalia")</f>
        <v/>
      </c>
    </row>
    <row r="42">
      <c r="K42">
        <f>+I42*J42</f>
        <v>0</v>
      </c>
      <c r="L42">
        <f>+K42*1.2</f>
        <v>0</v>
      </c>
      <c r="M42" t="str" cm="1">
        <f t="array" ref="M42">IFS(H42&gt;L42,"No puede expedirse, No cumple con el parámetro",H42&lt;1,"Ups! Aún no diligencias la columna H",H42&lt;=L42,"Adelante!, cumple con el parámetro")</f>
        <v/>
      </c>
      <c r="N42">
        <f>IF(M42="No puede expedirse, No cumple con el parámetro",K42*1.4,0)</f>
        <v>0</v>
      </c>
      <c r="O42" t="str" cm="1">
        <f t="array" ref="O42">IFS(N42=0,"",H42&gt;N42,"No puede expedirse, No cumple con el parámetro. Debes enviar correo a Heller con justificación",H42&lt;1,"Ups! Aún no diligencias la columna H",H42&lt;=N42,"Adelante!, cumple con el parámetro, debes enviar correo a Natalia")</f>
        <v/>
      </c>
    </row>
    <row r="43">
      <c r="K43">
        <f>+I43*J43</f>
        <v>0</v>
      </c>
      <c r="L43">
        <f>+K43*1.2</f>
        <v>0</v>
      </c>
      <c r="M43" t="str" cm="1">
        <f t="array" ref="M43">IFS(H43&gt;L43,"No puede expedirse, No cumple con el parámetro",H43&lt;1,"Ups! Aún no diligencias la columna H",H43&lt;=L43,"Adelante!, cumple con el parámetro")</f>
        <v/>
      </c>
      <c r="N43">
        <f>IF(M43="No puede expedirse, No cumple con el parámetro",K43*1.4,0)</f>
        <v>0</v>
      </c>
      <c r="O43" t="str" cm="1">
        <f t="array" ref="O43">IFS(N43=0,"",H43&gt;N43,"No puede expedirse, No cumple con el parámetro. Debes enviar correo a Heller con justificación",H43&lt;1,"Ups! Aún no diligencias la columna H",H43&lt;=N43,"Adelante!, cumple con el parámetro, debes enviar correo a Natalia")</f>
        <v/>
      </c>
    </row>
    <row r="44">
      <c r="K44">
        <f>+I44*J44</f>
        <v>0</v>
      </c>
      <c r="L44">
        <f>+K44*1.2</f>
        <v>0</v>
      </c>
      <c r="M44" t="str" cm="1">
        <f t="array" ref="M44">IFS(H44&gt;L44,"No puede expedirse, No cumple con el parámetro",H44&lt;1,"Ups! Aún no diligencias la columna H",H44&lt;=L44,"Adelante!, cumple con el parámetro")</f>
        <v/>
      </c>
      <c r="N44">
        <f>IF(M44="No puede expedirse, No cumple con el parámetro",K44*1.4,0)</f>
        <v>0</v>
      </c>
      <c r="O44" t="str" cm="1">
        <f t="array" ref="O44">IFS(N44=0,"",H44&gt;N44,"No puede expedirse, No cumple con el parámetro. Debes enviar correo a Heller con justificación",H44&lt;1,"Ups! Aún no diligencias la columna H",H44&lt;=N44,"Adelante!, cumple con el parámetro, debes enviar correo a Natalia")</f>
        <v/>
      </c>
    </row>
    <row r="45">
      <c r="K45">
        <f>+I45*J45</f>
        <v>0</v>
      </c>
      <c r="L45">
        <f>+K45*1.2</f>
        <v>0</v>
      </c>
      <c r="M45" t="str" cm="1">
        <f t="array" ref="M45">IFS(H45&gt;L45,"No puede expedirse, No cumple con el parámetro",H45&lt;1,"Ups! Aún no diligencias la columna H",H45&lt;=L45,"Adelante!, cumple con el parámetro")</f>
        <v/>
      </c>
      <c r="N45">
        <f>IF(M45="No puede expedirse, No cumple con el parámetro",K45*1.4,0)</f>
        <v>0</v>
      </c>
      <c r="O45" t="str" cm="1">
        <f t="array" ref="O45">IFS(N45=0,"",H45&gt;N45,"No puede expedirse, No cumple con el parámetro. Debes enviar correo a Heller con justificación",H45&lt;1,"Ups! Aún no diligencias la columna H",H45&lt;=N45,"Adelante!, cumple con el parámetro, debes enviar correo a Natalia")</f>
        <v/>
      </c>
    </row>
    <row r="46">
      <c r="K46">
        <f>+I46*J46</f>
        <v>0</v>
      </c>
      <c r="L46">
        <f>+K46*1.2</f>
        <v>0</v>
      </c>
      <c r="M46" t="str" cm="1">
        <f t="array" ref="M46">IFS(H46&gt;L46,"No puede expedirse, No cumple con el parámetro",H46&lt;1,"Ups! Aún no diligencias la columna H",H46&lt;=L46,"Adelante!, cumple con el parámetro")</f>
        <v/>
      </c>
      <c r="N46">
        <f>IF(M46="No puede expedirse, No cumple con el parámetro",K46*1.4,0)</f>
        <v>0</v>
      </c>
      <c r="O46" t="str" cm="1">
        <f t="array" ref="O46">IFS(N46=0,"",H46&gt;N46,"No puede expedirse, No cumple con el parámetro. Debes enviar correo a Heller con justificación",H46&lt;1,"Ups! Aún no diligencias la columna H",H46&lt;=N46,"Adelante!, cumple con el parámetro, debes enviar correo a Natalia")</f>
        <v/>
      </c>
    </row>
    <row r="47">
      <c r="K47">
        <f>+I47*J47</f>
        <v>0</v>
      </c>
      <c r="L47">
        <f>+K47*1.2</f>
        <v>0</v>
      </c>
      <c r="M47" t="str" cm="1">
        <f t="array" ref="M47">IFS(H47&gt;L47,"No puede expedirse, No cumple con el parámetro",H47&lt;1,"Ups! Aún no diligencias la columna H",H47&lt;=L47,"Adelante!, cumple con el parámetro")</f>
        <v/>
      </c>
      <c r="N47">
        <f>IF(M47="No puede expedirse, No cumple con el parámetro",K47*1.4,0)</f>
        <v>0</v>
      </c>
      <c r="O47" t="str" cm="1">
        <f t="array" ref="O47">IFS(N47=0,"",H47&gt;N47,"No puede expedirse, No cumple con el parámetro. Debes enviar correo a Heller con justificación",H47&lt;1,"Ups! Aún no diligencias la columna H",H47&lt;=N47,"Adelante!, cumple con el parámetro, debes enviar correo a Natalia")</f>
        <v/>
      </c>
    </row>
    <row r="48">
      <c r="K48">
        <f>+I48*J48</f>
        <v>0</v>
      </c>
      <c r="L48">
        <f>+K48*1.2</f>
        <v>0</v>
      </c>
      <c r="M48" t="str" cm="1">
        <f t="array" ref="M48">IFS(H48&gt;L48,"No puede expedirse, No cumple con el parámetro",H48&lt;1,"Ups! Aún no diligencias la columna H",H48&lt;=L48,"Adelante!, cumple con el parámetro")</f>
        <v/>
      </c>
      <c r="N48">
        <f>IF(M48="No puede expedirse, No cumple con el parámetro",K48*1.4,0)</f>
        <v>0</v>
      </c>
      <c r="O48" t="str" cm="1">
        <f t="array" ref="O48">IFS(N48=0,"",H48&gt;N48,"No puede expedirse, No cumple con el parámetro. Debes enviar correo a Heller con justificación",H48&lt;1,"Ups! Aún no diligencias la columna H",H48&lt;=N48,"Adelante!, cumple con el parámetro, debes enviar correo a Natalia")</f>
        <v/>
      </c>
    </row>
    <row r="49">
      <c r="K49">
        <f>+I49*J49</f>
        <v>0</v>
      </c>
      <c r="L49">
        <f>+K49*1.2</f>
        <v>0</v>
      </c>
      <c r="M49" t="str" cm="1">
        <f t="array" ref="M49">IFS(H49&gt;L49,"No puede expedirse, No cumple con el parámetro",H49&lt;1,"Ups! Aún no diligencias la columna H",H49&lt;=L49,"Adelante!, cumple con el parámetro")</f>
        <v/>
      </c>
      <c r="N49">
        <f>IF(M49="No puede expedirse, No cumple con el parámetro",K49*1.4,0)</f>
        <v>0</v>
      </c>
      <c r="O49" t="str" cm="1">
        <f t="array" ref="O49">IFS(N49=0,"",H49&gt;N49,"No puede expedirse, No cumple con el parámetro. Debes enviar correo a Heller con justificación",H49&lt;1,"Ups! Aún no diligencias la columna H",H49&lt;=N49,"Adelante!, cumple con el parámetro, debes enviar correo a Natalia")</f>
        <v/>
      </c>
    </row>
    <row r="50">
      <c r="K50">
        <f>+I50*J50</f>
        <v>0</v>
      </c>
      <c r="L50">
        <f>+K50*1.2</f>
        <v>0</v>
      </c>
      <c r="M50" t="str" cm="1">
        <f t="array" ref="M50">IFS(H50&gt;L50,"No puede expedirse, No cumple con el parámetro",H50&lt;1,"Ups! Aún no diligencias la columna H",H50&lt;=L50,"Adelante!, cumple con el parámetro")</f>
        <v/>
      </c>
      <c r="N50">
        <f>IF(M50="No puede expedirse, No cumple con el parámetro",K50*1.4,0)</f>
        <v>0</v>
      </c>
      <c r="O50" t="str" cm="1">
        <f t="array" ref="O50">IFS(N50=0,"",H50&gt;N50,"No puede expedirse, No cumple con el parámetro. Debes enviar correo a Heller con justificación",H50&lt;1,"Ups! Aún no diligencias la columna H",H50&lt;=N50,"Adelante!, cumple con el parámetro, debes enviar correo a Natalia")</f>
        <v/>
      </c>
    </row>
    <row r="51">
      <c r="K51">
        <f>+I51*J51</f>
        <v>0</v>
      </c>
      <c r="L51">
        <f>+K51*1.2</f>
        <v>0</v>
      </c>
      <c r="M51" t="str" cm="1">
        <f t="array" ref="M51">IFS(H51&gt;L51,"No puede expedirse, No cumple con el parámetro",H51&lt;1,"Ups! Aún no diligencias la columna H",H51&lt;=L51,"Adelante!, cumple con el parámetro")</f>
        <v/>
      </c>
      <c r="N51">
        <f>IF(M51="No puede expedirse, No cumple con el parámetro",K51*1.4,0)</f>
        <v>0</v>
      </c>
      <c r="O51" t="str" cm="1">
        <f t="array" ref="O51">IFS(N51=0,"",H51&gt;N51,"No puede expedirse, No cumple con el parámetro. Debes enviar correo a Heller con justificación",H51&lt;1,"Ups! Aún no diligencias la columna H",H51&lt;=N51,"Adelante!, cumple con el parámetro, debes enviar correo a Natalia")</f>
        <v/>
      </c>
    </row>
    <row r="52">
      <c r="K52">
        <f>+I52*J52</f>
        <v>0</v>
      </c>
      <c r="L52">
        <f>+K52*1.2</f>
        <v>0</v>
      </c>
      <c r="M52" t="str" cm="1">
        <f t="array" ref="M52">IFS(H52&gt;L52,"No puede expedirse, No cumple con el parámetro",H52&lt;1,"Ups! Aún no diligencias la columna H",H52&lt;=L52,"Adelante!, cumple con el parámetro")</f>
        <v/>
      </c>
      <c r="N52">
        <f>IF(M52="No puede expedirse, No cumple con el parámetro",K52*1.4,0)</f>
        <v>0</v>
      </c>
      <c r="O52" t="str" cm="1">
        <f t="array" ref="O52">IFS(N52=0,"",H52&gt;N52,"No puede expedirse, No cumple con el parámetro. Debes enviar correo a Heller con justificación",H52&lt;1,"Ups! Aún no diligencias la columna H",H52&lt;=N52,"Adelante!, cumple con el parámetro, debes enviar correo a Natalia")</f>
        <v/>
      </c>
    </row>
    <row r="53">
      <c r="K53">
        <f>+I53*J53</f>
        <v>0</v>
      </c>
      <c r="L53">
        <f>+K53*1.2</f>
        <v>0</v>
      </c>
      <c r="M53" t="str" cm="1">
        <f t="array" ref="M53">IFS(H53&gt;L53,"No puede expedirse, No cumple con el parámetro",H53&lt;1,"Ups! Aún no diligencias la columna H",H53&lt;=L53,"Adelante!, cumple con el parámetro")</f>
        <v/>
      </c>
      <c r="N53">
        <f>IF(M53="No puede expedirse, No cumple con el parámetro",K53*1.4,0)</f>
        <v>0</v>
      </c>
      <c r="O53" t="str" cm="1">
        <f t="array" ref="O53">IFS(N53=0,"",H53&gt;N53,"No puede expedirse, No cumple con el parámetro. Debes enviar correo a Heller con justificación",H53&lt;1,"Ups! Aún no diligencias la columna H",H53&lt;=N53,"Adelante!, cumple con el parámetro, debes enviar correo a Natalia")</f>
        <v/>
      </c>
    </row>
    <row r="54">
      <c r="K54">
        <f>+I54*J54</f>
        <v>0</v>
      </c>
      <c r="L54">
        <f>+K54*1.2</f>
        <v>0</v>
      </c>
      <c r="M54" t="str" cm="1">
        <f t="array" ref="M54">IFS(H54&gt;L54,"No puede expedirse, No cumple con el parámetro",H54&lt;1,"Ups! Aún no diligencias la columna H",H54&lt;=L54,"Adelante!, cumple con el parámetro")</f>
        <v/>
      </c>
      <c r="N54">
        <f>IF(M54="No puede expedirse, No cumple con el parámetro",K54*1.4,0)</f>
        <v>0</v>
      </c>
      <c r="O54" t="str" cm="1">
        <f t="array" ref="O54">IFS(N54=0,"",H54&gt;N54,"No puede expedirse, No cumple con el parámetro. Debes enviar correo a Heller con justificación",H54&lt;1,"Ups! Aún no diligencias la columna H",H54&lt;=N54,"Adelante!, cumple con el parámetro, debes enviar correo a Natalia")</f>
        <v/>
      </c>
    </row>
    <row r="55">
      <c r="K55">
        <f>+I55*J55</f>
        <v>0</v>
      </c>
      <c r="L55">
        <f>+K55*1.2</f>
        <v>0</v>
      </c>
      <c r="M55" t="str" cm="1">
        <f t="array" ref="M55">IFS(H55&gt;L55,"No puede expedirse, No cumple con el parámetro",H55&lt;1,"Ups! Aún no diligencias la columna H",H55&lt;=L55,"Adelante!, cumple con el parámetro")</f>
        <v/>
      </c>
      <c r="N55">
        <f>IF(M55="No puede expedirse, No cumple con el parámetro",K55*1.4,0)</f>
        <v>0</v>
      </c>
      <c r="O55" t="str" cm="1">
        <f t="array" ref="O55">IFS(N55=0,"",H55&gt;N55,"No puede expedirse, No cumple con el parámetro. Debes enviar correo a Heller con justificación",H55&lt;1,"Ups! Aún no diligencias la columna H",H55&lt;=N55,"Adelante!, cumple con el parámetro, debes enviar correo a Natalia")</f>
        <v/>
      </c>
    </row>
    <row r="56">
      <c r="K56">
        <f>+I56*J56</f>
        <v>0</v>
      </c>
      <c r="L56">
        <f>+K56*1.2</f>
        <v>0</v>
      </c>
      <c r="M56" t="str" cm="1">
        <f t="array" ref="M56">IFS(H56&gt;L56,"No puede expedirse, No cumple con el parámetro",H56&lt;1,"Ups! Aún no diligencias la columna H",H56&lt;=L56,"Adelante!, cumple con el parámetro")</f>
        <v/>
      </c>
      <c r="N56">
        <f>IF(M56="No puede expedirse, No cumple con el parámetro",K56*1.4,0)</f>
        <v>0</v>
      </c>
      <c r="O56" t="str" cm="1">
        <f t="array" ref="O56">IFS(N56=0,"",H56&gt;N56,"No puede expedirse, No cumple con el parámetro. Debes enviar correo a Heller con justificación",H56&lt;1,"Ups! Aún no diligencias la columna H",H56&lt;=N56,"Adelante!, cumple con el parámetro, debes enviar correo a Natalia")</f>
        <v/>
      </c>
    </row>
    <row r="57">
      <c r="K57">
        <f>+I57*J57</f>
        <v>0</v>
      </c>
      <c r="L57">
        <f>+K57*1.2</f>
        <v>0</v>
      </c>
      <c r="M57" t="str" cm="1">
        <f t="array" ref="M57">IFS(H57&gt;L57,"No puede expedirse, No cumple con el parámetro",H57&lt;1,"Ups! Aún no diligencias la columna H",H57&lt;=L57,"Adelante!, cumple con el parámetro")</f>
        <v/>
      </c>
      <c r="N57">
        <f>IF(M57="No puede expedirse, No cumple con el parámetro",K57*1.4,0)</f>
        <v>0</v>
      </c>
      <c r="O57" t="str" cm="1">
        <f t="array" ref="O57">IFS(N57=0,"",H57&gt;N57,"No puede expedirse, No cumple con el parámetro. Debes enviar correo a Heller con justificación",H57&lt;1,"Ups! Aún no diligencias la columna H",H57&lt;=N57,"Adelante!, cumple con el parámetro, debes enviar correo a Natalia")</f>
        <v/>
      </c>
    </row>
    <row r="58">
      <c r="K58">
        <f>+I58*J58</f>
        <v>0</v>
      </c>
      <c r="L58">
        <f>+K58*1.2</f>
        <v>0</v>
      </c>
      <c r="M58" t="str" cm="1">
        <f t="array" ref="M58">IFS(H58&gt;L58,"No puede expedirse, No cumple con el parámetro",H58&lt;1,"Ups! Aún no diligencias la columna H",H58&lt;=L58,"Adelante!, cumple con el parámetro")</f>
        <v/>
      </c>
      <c r="N58">
        <f>IF(M58="No puede expedirse, No cumple con el parámetro",K58*1.4,0)</f>
        <v>0</v>
      </c>
      <c r="O58" t="str" cm="1">
        <f t="array" ref="O58">IFS(N58=0,"",H58&gt;N58,"No puede expedirse, No cumple con el parámetro. Debes enviar correo a Heller con justificación",H58&lt;1,"Ups! Aún no diligencias la columna H",H58&lt;=N58,"Adelante!, cumple con el parámetro, debes enviar correo a Natalia")</f>
        <v/>
      </c>
    </row>
    <row r="59">
      <c r="K59">
        <f>+I59*J59</f>
        <v>0</v>
      </c>
      <c r="L59">
        <f>+K59*1.2</f>
        <v>0</v>
      </c>
      <c r="M59" t="str" cm="1">
        <f t="array" ref="M59">IFS(H59&gt;L59,"No puede expedirse, No cumple con el parámetro",H59&lt;1,"Ups! Aún no diligencias la columna H",H59&lt;=L59,"Adelante!, cumple con el parámetro")</f>
        <v/>
      </c>
      <c r="N59">
        <f>IF(M59="No puede expedirse, No cumple con el parámetro",K59*1.4,0)</f>
        <v>0</v>
      </c>
      <c r="O59" t="str" cm="1">
        <f t="array" ref="O59">IFS(N59=0,"",H59&gt;N59,"No puede expedirse, No cumple con el parámetro. Debes enviar correo a Heller con justificación",H59&lt;1,"Ups! Aún no diligencias la columna H",H59&lt;=N59,"Adelante!, cumple con el parámetro, debes enviar correo a Natalia")</f>
        <v/>
      </c>
    </row>
    <row r="60">
      <c r="K60">
        <f>+I60*J60</f>
        <v>0</v>
      </c>
      <c r="L60">
        <f>+K60*1.2</f>
        <v>0</v>
      </c>
      <c r="M60" t="str" cm="1">
        <f t="array" ref="M60">IFS(H60&gt;L60,"No puede expedirse, No cumple con el parámetro",H60&lt;1,"Ups! Aún no diligencias la columna H",H60&lt;=L60,"Adelante!, cumple con el parámetro")</f>
        <v/>
      </c>
      <c r="N60">
        <f>IF(M60="No puede expedirse, No cumple con el parámetro",K60*1.4,0)</f>
        <v>0</v>
      </c>
      <c r="O60" t="str" cm="1">
        <f t="array" ref="O60">IFS(N60=0,"",H60&gt;N60,"No puede expedirse, No cumple con el parámetro. Debes enviar correo a Heller con justificación",H60&lt;1,"Ups! Aún no diligencias la columna H",H60&lt;=N60,"Adelante!, cumple con el parámetro, debes enviar correo a Natalia")</f>
        <v/>
      </c>
    </row>
    <row r="61">
      <c r="K61">
        <f>+I61*J61</f>
        <v>0</v>
      </c>
      <c r="L61">
        <f>+K61*1.2</f>
        <v>0</v>
      </c>
      <c r="M61" t="str" cm="1">
        <f t="array" ref="M61">IFS(H61&gt;L61,"No puede expedirse, No cumple con el parámetro",H61&lt;1,"Ups! Aún no diligencias la columna H",H61&lt;=L61,"Adelante!, cumple con el parámetro")</f>
        <v/>
      </c>
      <c r="N61">
        <f>IF(M61="No puede expedirse, No cumple con el parámetro",K61*1.4,0)</f>
        <v>0</v>
      </c>
      <c r="O61" t="str" cm="1">
        <f t="array" ref="O61">IFS(N61=0,"",H61&gt;N61,"No puede expedirse, No cumple con el parámetro. Debes enviar correo a Heller con justificación",H61&lt;1,"Ups! Aún no diligencias la columna H",H61&lt;=N61,"Adelante!, cumple con el parámetro, debes enviar correo a Natalia")</f>
        <v/>
      </c>
    </row>
    <row r="62">
      <c r="K62">
        <f>+I62*J62</f>
        <v>0</v>
      </c>
      <c r="L62">
        <f>+K62*1.2</f>
        <v>0</v>
      </c>
      <c r="M62" t="str" cm="1">
        <f t="array" ref="M62">IFS(H62&gt;L62,"No puede expedirse, No cumple con el parámetro",H62&lt;1,"Ups! Aún no diligencias la columna H",H62&lt;=L62,"Adelante!, cumple con el parámetro")</f>
        <v/>
      </c>
      <c r="N62">
        <f>IF(M62="No puede expedirse, No cumple con el parámetro",K62*1.4,0)</f>
        <v>0</v>
      </c>
      <c r="O62" t="str" cm="1">
        <f t="array" ref="O62">IFS(N62=0,"",H62&gt;N62,"No puede expedirse, No cumple con el parámetro. Debes enviar correo a Heller con justificación",H62&lt;1,"Ups! Aún no diligencias la columna H",H62&lt;=N62,"Adelante!, cumple con el parámetro, debes enviar correo a Natalia")</f>
        <v/>
      </c>
    </row>
  </sheetData>
  <autoFilter ref="A2:AE62"/>
  <mergeCells count="3">
    <mergeCell ref="A1:C1"/>
    <mergeCell ref="D1:E1"/>
    <mergeCell ref="F1:H1"/>
  </mergeCells>
  <pageMargins left="0.7" right="0.7" top="0.75" bottom="0.75" header="0" footer="0"/>
  <ignoredErrors>
    <ignoredError numberStoredAsText="1" sqref="A1:O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1"/>
  <sheetViews>
    <sheetView workbookViewId="0" rightToLeft="0"/>
  </sheetViews>
  <sheetData>
    <row r="1">
      <c r="A1" t="str">
        <v>BENEFICIARIOS</v>
      </c>
      <c r="B1" t="str">
        <v>NIT</v>
      </c>
      <c r="C1" t="str">
        <v>NIT</v>
      </c>
      <c r="D1" t="str">
        <v>DV</v>
      </c>
    </row>
    <row r="2">
      <c r="A2" t="str">
        <v>SELECCIONE</v>
      </c>
      <c r="C2" t="str">
        <v xml:space="preserve"> </v>
      </c>
      <c r="D2" t="str">
        <v xml:space="preserve"> </v>
      </c>
    </row>
    <row r="3">
      <c r="A3" t="str">
        <v>BANCO DAVIVIENDA S.A.</v>
      </c>
      <c r="B3">
        <v>8600343137</v>
      </c>
      <c r="C3">
        <v>860034313</v>
      </c>
      <c r="D3">
        <v>7</v>
      </c>
    </row>
    <row r="4">
      <c r="A4" t="str">
        <v>BANCOLOMBIA S.A.</v>
      </c>
      <c r="B4">
        <v>8909039388</v>
      </c>
      <c r="C4">
        <v>890903938</v>
      </c>
      <c r="D4">
        <v>8</v>
      </c>
    </row>
    <row r="5">
      <c r="A5" t="str">
        <v>BBVA COLOMBIA S.A.</v>
      </c>
      <c r="B5">
        <v>8600030201</v>
      </c>
      <c r="C5">
        <v>860003020</v>
      </c>
      <c r="D5">
        <v>1</v>
      </c>
    </row>
    <row r="6">
      <c r="A6" t="str">
        <v>SCOTIABANK COLPATRIA</v>
      </c>
      <c r="B6">
        <v>8600345941</v>
      </c>
      <c r="C6">
        <v>860034594</v>
      </c>
      <c r="D6">
        <v>1</v>
      </c>
    </row>
    <row r="7">
      <c r="A7" t="str">
        <v>ITAÚ CORPBANCA COLOMBIA S.A.</v>
      </c>
      <c r="B7">
        <v>8909039370</v>
      </c>
      <c r="C7">
        <v>890903937</v>
      </c>
      <c r="D7">
        <v>0</v>
      </c>
    </row>
    <row r="8">
      <c r="A8" t="str">
        <v>BANCO COMERCIAL  AV VILLAS S.A.</v>
      </c>
      <c r="B8">
        <v>8600358275</v>
      </c>
      <c r="C8">
        <v>860035827</v>
      </c>
      <c r="D8">
        <v>5</v>
      </c>
    </row>
    <row r="9">
      <c r="A9" t="str">
        <v>BANCO DE BOGOTA S.A.</v>
      </c>
      <c r="B9">
        <v>8600029644</v>
      </c>
      <c r="C9">
        <v>860002964</v>
      </c>
      <c r="D9">
        <v>4</v>
      </c>
    </row>
    <row r="10">
      <c r="A10" t="str">
        <v>BANCO CAJA SOCIAL S.A.</v>
      </c>
      <c r="B10">
        <v>8600073354</v>
      </c>
      <c r="C10">
        <v>860007335</v>
      </c>
      <c r="D10">
        <v>4</v>
      </c>
    </row>
    <row r="11">
      <c r="A11" t="str">
        <v>BANCO DE OCCIDENTE S.A.</v>
      </c>
      <c r="B11">
        <v>8903002794</v>
      </c>
      <c r="C11">
        <v>890300279</v>
      </c>
      <c r="D11">
        <v>4</v>
      </c>
    </row>
    <row r="12">
      <c r="A12" t="str">
        <v>BANCO GNB SUDAMERIS S.A.</v>
      </c>
      <c r="B12">
        <v>8600507501</v>
      </c>
      <c r="C12">
        <v>860050750</v>
      </c>
      <c r="D12">
        <v>1</v>
      </c>
    </row>
    <row r="13">
      <c r="A13" t="str">
        <v>FONDO NACIONAL DEL AHORRO</v>
      </c>
      <c r="B13">
        <v>8999992844</v>
      </c>
      <c r="C13">
        <v>899999284</v>
      </c>
      <c r="D13">
        <v>4</v>
      </c>
    </row>
    <row r="14">
      <c r="A14" t="str">
        <v>LEASING BANCOLOMBIA S.A.</v>
      </c>
      <c r="B14">
        <v>8600592943</v>
      </c>
      <c r="C14">
        <v>860059294</v>
      </c>
      <c r="D14">
        <v>3</v>
      </c>
    </row>
    <row r="15">
      <c r="A15" t="str">
        <v>BANCO POPULAR S.A.</v>
      </c>
      <c r="B15">
        <v>8600077389</v>
      </c>
      <c r="C15">
        <v>860007738</v>
      </c>
      <c r="D15">
        <v>9</v>
      </c>
    </row>
    <row r="16">
      <c r="A16" t="str">
        <v>BANCOOMEVA</v>
      </c>
      <c r="B16">
        <v>9004061505</v>
      </c>
      <c r="C16">
        <v>900406150</v>
      </c>
      <c r="D16">
        <v>5</v>
      </c>
    </row>
    <row r="17">
      <c r="A17" t="str">
        <v>DAVIbank S.A</v>
      </c>
      <c r="C17">
        <v>860034594</v>
      </c>
      <c r="D17">
        <v>1</v>
      </c>
    </row>
    <row r="18">
      <c r="A18" t="str">
        <v>ADMINISTRADORA ANDINA DE INVERSIONES S.A.</v>
      </c>
      <c r="B18">
        <v>9000478898</v>
      </c>
      <c r="C18">
        <v>900047889</v>
      </c>
      <c r="D18">
        <v>8</v>
      </c>
    </row>
    <row r="19">
      <c r="A19" t="str">
        <v>AGENCIA DE SEGUROS QUINCE LTDA "SEGUR - QUINCE LTDA"</v>
      </c>
      <c r="B19">
        <v>8909265829</v>
      </c>
      <c r="C19">
        <v>890926582</v>
      </c>
      <c r="D19">
        <v>9</v>
      </c>
    </row>
    <row r="20">
      <c r="A20" t="str">
        <v>AGUILAR CRUZ OLGA NOEMY</v>
      </c>
      <c r="B20">
        <v>1143833361</v>
      </c>
      <c r="C20">
        <v>1143833361</v>
      </c>
      <c r="D20">
        <v>0</v>
      </c>
    </row>
    <row r="21">
      <c r="A21" t="str">
        <v>ALIMENTOS BUGUI S.A.S</v>
      </c>
      <c r="B21">
        <v>8110263278</v>
      </c>
      <c r="C21">
        <v>811026327</v>
      </c>
      <c r="D21">
        <v>8</v>
      </c>
    </row>
    <row r="22">
      <c r="A22" t="str">
        <v>AMERICANA DE LIBRANZAS S.A.S.</v>
      </c>
      <c r="B22">
        <v>9011060076</v>
      </c>
      <c r="C22">
        <v>901106007</v>
      </c>
      <c r="D22">
        <v>6</v>
      </c>
    </row>
    <row r="23">
      <c r="A23" t="str">
        <v>AMTEX S.A</v>
      </c>
      <c r="B23">
        <v>8909041387</v>
      </c>
      <c r="C23">
        <v>890904138</v>
      </c>
      <c r="D23">
        <v>7</v>
      </c>
    </row>
    <row r="24">
      <c r="A24" t="str">
        <v>ANIBAL CAMARGO RODELO</v>
      </c>
      <c r="B24">
        <v>3732704</v>
      </c>
      <c r="C24">
        <v>3732704</v>
      </c>
      <c r="D24">
        <v>0</v>
      </c>
    </row>
    <row r="25">
      <c r="A25" t="str">
        <v>APN SERVICIOS ESPECIALES S.A.S.</v>
      </c>
      <c r="B25">
        <v>9006066693</v>
      </c>
      <c r="C25">
        <v>900606669</v>
      </c>
      <c r="D25">
        <v>3</v>
      </c>
    </row>
    <row r="26">
      <c r="A26" t="str">
        <v>APOYOS FINANCIEROS ESPECIALIZADOS S.A. / APOYAR S.A.</v>
      </c>
      <c r="B26">
        <v>8300096359</v>
      </c>
      <c r="C26">
        <v>830009635</v>
      </c>
      <c r="D26">
        <v>9</v>
      </c>
    </row>
    <row r="27">
      <c r="A27" t="str">
        <v>ASOCIACION MUTUAL DE ASEGURADORES DE COLOMBIA - ALAS MUTUAL</v>
      </c>
      <c r="B27">
        <v>8040006170</v>
      </c>
      <c r="C27">
        <v>804000617</v>
      </c>
      <c r="D27">
        <v>0</v>
      </c>
    </row>
    <row r="28">
      <c r="A28" t="str">
        <v>AUTO PRADO</v>
      </c>
      <c r="B28">
        <v>7015028109</v>
      </c>
      <c r="C28">
        <v>701502810</v>
      </c>
      <c r="D28">
        <v>9</v>
      </c>
    </row>
    <row r="29">
      <c r="A29" t="str">
        <v>AUTOAMERICA</v>
      </c>
      <c r="B29">
        <v>8909046150</v>
      </c>
      <c r="C29">
        <v>890904615</v>
      </c>
      <c r="D29">
        <v>0</v>
      </c>
    </row>
    <row r="30">
      <c r="A30" t="str">
        <v>AUTOFACIL DE COLOMBIA S.A.S.</v>
      </c>
      <c r="B30">
        <v>9009454178</v>
      </c>
      <c r="C30">
        <v>900945417</v>
      </c>
      <c r="D30">
        <v>8</v>
      </c>
    </row>
    <row r="31">
      <c r="A31" t="str">
        <v>AUTOFINANCIERA</v>
      </c>
      <c r="B31">
        <v>8600304121</v>
      </c>
      <c r="C31">
        <v>860030412</v>
      </c>
      <c r="D31">
        <v>1</v>
      </c>
    </row>
    <row r="32">
      <c r="A32" t="str">
        <v>AUTOGERMANA S.A.</v>
      </c>
      <c r="B32">
        <v>8605095140</v>
      </c>
      <c r="C32">
        <v>860509514</v>
      </c>
      <c r="D32">
        <v>0</v>
      </c>
    </row>
    <row r="33">
      <c r="A33" t="str">
        <v>AUTOMOTORES LAS PALMERAS LTDA</v>
      </c>
      <c r="B33">
        <v>9002600665</v>
      </c>
      <c r="C33">
        <v>900260066</v>
      </c>
      <c r="D33">
        <v>5</v>
      </c>
    </row>
    <row r="34">
      <c r="A34" t="str">
        <v>AUTOS ALEMANES JORGE CORTES Y CIA LTDA</v>
      </c>
      <c r="B34">
        <v>8605034596</v>
      </c>
      <c r="C34">
        <v>860503459</v>
      </c>
      <c r="D34">
        <v>6</v>
      </c>
    </row>
    <row r="35">
      <c r="A35" t="str">
        <v>AUTOS DEL RISARALDA S. A.</v>
      </c>
      <c r="B35">
        <v>8914092157</v>
      </c>
      <c r="C35">
        <v>891409215</v>
      </c>
      <c r="D35">
        <v>7</v>
      </c>
    </row>
    <row r="36">
      <c r="A36" t="str">
        <v>AUTOS FERCAR S.A</v>
      </c>
      <c r="B36">
        <v>9001112244</v>
      </c>
      <c r="C36">
        <v>900111224</v>
      </c>
      <c r="D36">
        <v>4</v>
      </c>
    </row>
    <row r="37">
      <c r="A37" t="str">
        <v>AYURÁ MOTOR S.A.</v>
      </c>
      <c r="B37">
        <v>8909423101</v>
      </c>
      <c r="C37">
        <v>890942310</v>
      </c>
      <c r="D37">
        <v>1</v>
      </c>
    </row>
    <row r="38">
      <c r="A38" t="str">
        <v>BANCAFE</v>
      </c>
      <c r="B38">
        <v>8600029621</v>
      </c>
      <c r="C38">
        <v>860002962</v>
      </c>
      <c r="D38">
        <v>1</v>
      </c>
    </row>
    <row r="39">
      <c r="A39" t="str">
        <v>BANCO ALIADAS</v>
      </c>
      <c r="B39">
        <v>8909211292</v>
      </c>
      <c r="C39">
        <v>890921129</v>
      </c>
      <c r="D39">
        <v>2</v>
      </c>
    </row>
    <row r="40">
      <c r="A40" t="str">
        <v>BANCO ANGLO COLOMBIA</v>
      </c>
      <c r="B40">
        <v>8600509309</v>
      </c>
      <c r="C40">
        <v>860050930</v>
      </c>
      <c r="D40">
        <v>9</v>
      </c>
    </row>
    <row r="41">
      <c r="A41" t="str">
        <v>BANCO COMPARTIR S.A.</v>
      </c>
      <c r="B41">
        <v>8600259715</v>
      </c>
      <c r="C41">
        <v>860025971</v>
      </c>
      <c r="D41">
        <v>5</v>
      </c>
    </row>
    <row r="42">
      <c r="A42" t="str">
        <v>BANCO CORPBANCA COLOMBIA S.A.</v>
      </c>
      <c r="B42">
        <v>8600076603</v>
      </c>
      <c r="C42">
        <v>860007660</v>
      </c>
      <c r="D42">
        <v>3</v>
      </c>
    </row>
    <row r="43">
      <c r="A43" t="str">
        <v>BANCO DE COMERCIO EXTERIOR DE COLOMBIA S.A.</v>
      </c>
      <c r="B43">
        <v>8001499236</v>
      </c>
      <c r="C43">
        <v>800149923</v>
      </c>
      <c r="D43">
        <v>6</v>
      </c>
    </row>
    <row r="44">
      <c r="A44" t="str">
        <v>BANCO DEL PACIFICO</v>
      </c>
      <c r="B44">
        <v>8001599468</v>
      </c>
      <c r="C44">
        <v>800159946</v>
      </c>
      <c r="D44">
        <v>8</v>
      </c>
    </row>
    <row r="45">
      <c r="A45" t="str">
        <v>BANCO FINANDINA S.A.</v>
      </c>
      <c r="B45">
        <v>8600518946</v>
      </c>
      <c r="C45">
        <v>860051894</v>
      </c>
      <c r="D45">
        <v>6</v>
      </c>
    </row>
    <row r="46">
      <c r="A46" t="str">
        <v>BANCO PICHINCHA S.A.</v>
      </c>
      <c r="B46">
        <v>8902007567</v>
      </c>
      <c r="C46">
        <v>890200756</v>
      </c>
      <c r="D46">
        <v>7</v>
      </c>
    </row>
    <row r="47">
      <c r="A47" t="str">
        <v>BANCO SANTANDER DE NEGOCIOS COLOMBIA S.A.</v>
      </c>
      <c r="B47">
        <v>9006281103</v>
      </c>
      <c r="C47">
        <v>900628110</v>
      </c>
      <c r="D47">
        <v>3</v>
      </c>
    </row>
    <row r="48">
      <c r="A48" t="str">
        <v>BANCO SUPERIOR S.A.</v>
      </c>
      <c r="B48">
        <v>8600316295</v>
      </c>
      <c r="C48">
        <v>860031629</v>
      </c>
      <c r="D48">
        <v>5</v>
      </c>
    </row>
    <row r="49">
      <c r="A49" t="str">
        <v>BANCO UCONAL</v>
      </c>
      <c r="B49">
        <v>8600096602</v>
      </c>
      <c r="C49">
        <v>860009660</v>
      </c>
      <c r="D49">
        <v>2</v>
      </c>
    </row>
    <row r="50">
      <c r="A50" t="str">
        <v>BANCO W S.A.</v>
      </c>
      <c r="B50">
        <v>9003782122</v>
      </c>
      <c r="C50">
        <v>900378212</v>
      </c>
      <c r="D50">
        <v>2</v>
      </c>
    </row>
    <row r="51">
      <c r="A51" t="str">
        <v>BANCOOP</v>
      </c>
      <c r="B51">
        <v>8600236055</v>
      </c>
      <c r="C51">
        <v>860023605</v>
      </c>
      <c r="D51">
        <v>5</v>
      </c>
    </row>
    <row r="52">
      <c r="A52" t="str">
        <v>BAVARIA</v>
      </c>
      <c r="B52">
        <v>8600052246</v>
      </c>
      <c r="C52">
        <v>860005224</v>
      </c>
      <c r="D52">
        <v>6</v>
      </c>
    </row>
    <row r="53">
      <c r="A53" t="str">
        <v>BBVA LEASING S.A. CFC</v>
      </c>
      <c r="B53">
        <v>9001936040</v>
      </c>
      <c r="C53">
        <v>900193604</v>
      </c>
      <c r="D53">
        <v>0</v>
      </c>
    </row>
    <row r="54">
      <c r="A54" t="str">
        <v>BENEFICIAR ENTIDAD COOPERATIVA</v>
      </c>
      <c r="B54">
        <v>8605183508</v>
      </c>
      <c r="C54">
        <v>860518350</v>
      </c>
      <c r="D54">
        <v>8</v>
      </c>
    </row>
    <row r="55">
      <c r="A55" t="str">
        <v>BLINTECH LTDA</v>
      </c>
      <c r="B55">
        <v>9005036343</v>
      </c>
      <c r="C55">
        <v>900503634</v>
      </c>
      <c r="D55">
        <v>3</v>
      </c>
    </row>
    <row r="56">
      <c r="A56" t="str">
        <v>C.I. CODELIN S.A.</v>
      </c>
      <c r="B56">
        <v>8909220385</v>
      </c>
      <c r="C56">
        <v>890922038</v>
      </c>
      <c r="D56">
        <v>5</v>
      </c>
    </row>
    <row r="57">
      <c r="A57" t="str">
        <v>CABIF S.A.S.</v>
      </c>
      <c r="B57">
        <v>9007508251</v>
      </c>
      <c r="C57">
        <v>900750825</v>
      </c>
      <c r="D57">
        <v>1</v>
      </c>
    </row>
    <row r="58">
      <c r="A58" t="str">
        <v>CAFAM</v>
      </c>
      <c r="B58">
        <v>8600135703</v>
      </c>
      <c r="C58">
        <v>860013570</v>
      </c>
      <c r="D58">
        <v>3</v>
      </c>
    </row>
    <row r="59">
      <c r="A59" t="str">
        <v>CAJA AGRARIA</v>
      </c>
      <c r="B59">
        <v>8999990475</v>
      </c>
      <c r="C59">
        <v>899999047</v>
      </c>
      <c r="D59">
        <v>5</v>
      </c>
    </row>
    <row r="60">
      <c r="A60" t="str">
        <v>CAJA DE COMPENSACION FAMILIAR DE CALDAS</v>
      </c>
      <c r="B60">
        <v>8908064905</v>
      </c>
      <c r="C60">
        <v>890806490</v>
      </c>
      <c r="D60">
        <v>5</v>
      </c>
    </row>
    <row r="61">
      <c r="A61" t="str">
        <v>CAJA POPULAR COOPERATIVA</v>
      </c>
      <c r="B61">
        <v>8918000188</v>
      </c>
      <c r="C61">
        <v>891800018</v>
      </c>
      <c r="D61">
        <v>8</v>
      </c>
    </row>
    <row r="62">
      <c r="A62" t="str">
        <v>CALIMA MOTOR S.A.</v>
      </c>
      <c r="B62">
        <v>8903089655</v>
      </c>
      <c r="C62">
        <v>890308965</v>
      </c>
      <c r="D62">
        <v>5</v>
      </c>
    </row>
    <row r="63">
      <c r="A63" t="str">
        <v>CAMIONES KAMAZ DE COLOMBIA</v>
      </c>
      <c r="B63">
        <v>9001447849</v>
      </c>
      <c r="C63">
        <v>900144784</v>
      </c>
      <c r="D63">
        <v>9</v>
      </c>
    </row>
    <row r="64">
      <c r="A64" t="str">
        <v>CARACOL TELEVISION S.A.</v>
      </c>
      <c r="B64">
        <v>8600256742</v>
      </c>
      <c r="C64">
        <v>860025674</v>
      </c>
      <c r="D64">
        <v>2</v>
      </c>
    </row>
    <row r="65">
      <c r="A65" t="str">
        <v>CARROFACIL DE COLOMBIA S.A.S.</v>
      </c>
      <c r="B65">
        <v>9005714820</v>
      </c>
      <c r="C65">
        <v>900571482</v>
      </c>
      <c r="D65">
        <v>0</v>
      </c>
    </row>
    <row r="66">
      <c r="A66" t="str">
        <v>CARVAJAL TECNOLOGIA Y SERVICIOS S.A.S.</v>
      </c>
      <c r="B66">
        <v>8903211510</v>
      </c>
      <c r="C66">
        <v>890321151</v>
      </c>
      <c r="D66">
        <v>0</v>
      </c>
    </row>
    <row r="67">
      <c r="A67" t="str">
        <v>CASA TORO AUTOMOTRIZ S.A.</v>
      </c>
      <c r="B67">
        <v>8300049938</v>
      </c>
      <c r="C67">
        <v>830004993</v>
      </c>
      <c r="D67">
        <v>8</v>
      </c>
    </row>
    <row r="68">
      <c r="A68" t="str">
        <v>CASAUTOS S.A.</v>
      </c>
      <c r="B68">
        <v>8002062344</v>
      </c>
      <c r="C68">
        <v>800206234</v>
      </c>
      <c r="D68">
        <v>4</v>
      </c>
    </row>
    <row r="69">
      <c r="A69" t="str">
        <v>CENTRAL MOTOR LTDA</v>
      </c>
      <c r="B69">
        <v>8040028327</v>
      </c>
      <c r="C69">
        <v>804002832</v>
      </c>
      <c r="D69">
        <v>7</v>
      </c>
    </row>
    <row r="70">
      <c r="A70" t="str">
        <v>Centro de Servcios Crediticios CSC</v>
      </c>
      <c r="B70">
        <v>9000974838</v>
      </c>
      <c r="C70">
        <v>900097483</v>
      </c>
      <c r="D70">
        <v>8</v>
      </c>
    </row>
    <row r="71">
      <c r="A71" t="str">
        <v>CENTRO DE SERVICIOS CREDITICIOS</v>
      </c>
      <c r="B71">
        <v>9000974638</v>
      </c>
      <c r="C71">
        <v>900097463</v>
      </c>
      <c r="D71">
        <v>8</v>
      </c>
    </row>
    <row r="72">
      <c r="A72" t="str">
        <v>CERVECERIA DEL VALLE S.A.</v>
      </c>
      <c r="B72">
        <v>9001366388</v>
      </c>
      <c r="C72">
        <v>900136638</v>
      </c>
      <c r="D72">
        <v>8</v>
      </c>
    </row>
    <row r="73">
      <c r="A73" t="str">
        <v>CESCA COOPERATIVA DE AHORRO Y CREDITO</v>
      </c>
      <c r="B73">
        <v>8908032367</v>
      </c>
      <c r="C73">
        <v>890803236</v>
      </c>
      <c r="D73">
        <v>7</v>
      </c>
    </row>
    <row r="74">
      <c r="A74" t="str">
        <v>CHEVYPLAN S.A.</v>
      </c>
      <c r="B74">
        <v>8300011337</v>
      </c>
      <c r="C74">
        <v>830001133</v>
      </c>
      <c r="D74">
        <v>7</v>
      </c>
    </row>
    <row r="75">
      <c r="A75" t="str">
        <v>CIGPF CREAR PAIS LTDA</v>
      </c>
      <c r="B75">
        <v>9000900830</v>
      </c>
      <c r="C75">
        <v>900090083</v>
      </c>
      <c r="D75">
        <v>0</v>
      </c>
    </row>
    <row r="76">
      <c r="A76" t="str">
        <v>CITIBANK COLOMBIA S.A.</v>
      </c>
      <c r="B76">
        <v>8600511354</v>
      </c>
      <c r="C76">
        <v>860051135</v>
      </c>
      <c r="D76">
        <v>4</v>
      </c>
    </row>
    <row r="77">
      <c r="A77" t="str">
        <v>CLAVE 2000 S.A.</v>
      </c>
      <c r="B77">
        <v>8002046251</v>
      </c>
      <c r="C77">
        <v>800204625</v>
      </c>
      <c r="D77">
        <v>1</v>
      </c>
    </row>
    <row r="78">
      <c r="A78" t="str">
        <v>COAGRUPO, COOPERATIVA ANTIOQUEÑA DE TRABAJADORES DEL GREMIO CAFETERO</v>
      </c>
      <c r="B78">
        <v>8909851724</v>
      </c>
      <c r="C78">
        <v>890985172</v>
      </c>
      <c r="D78">
        <v>4</v>
      </c>
    </row>
    <row r="79">
      <c r="A79" t="str">
        <v>COASMEDAS</v>
      </c>
      <c r="B79">
        <v>8600140406</v>
      </c>
      <c r="C79">
        <v>860014040</v>
      </c>
      <c r="D79">
        <v>6</v>
      </c>
    </row>
    <row r="80">
      <c r="A80" t="str">
        <v>COEMPOPULAR</v>
      </c>
      <c r="B80">
        <v>8600332277</v>
      </c>
      <c r="C80">
        <v>860033227</v>
      </c>
      <c r="D80">
        <v>7</v>
      </c>
    </row>
    <row r="81">
      <c r="A81" t="str">
        <v>COLFONDOS S.A.</v>
      </c>
      <c r="B81">
        <v>8001494962</v>
      </c>
      <c r="C81">
        <v>800149496</v>
      </c>
      <c r="D81">
        <v>2</v>
      </c>
    </row>
    <row r="82">
      <c r="A82" t="str">
        <v>COLMEDIKS</v>
      </c>
      <c r="B82">
        <v>9003908351</v>
      </c>
      <c r="C82">
        <v>900390835</v>
      </c>
      <c r="D82">
        <v>1</v>
      </c>
    </row>
    <row r="83">
      <c r="A83" t="str">
        <v>COLOMBIANA DE COMERCIO S.A.</v>
      </c>
      <c r="B83">
        <v>8909009431</v>
      </c>
      <c r="C83">
        <v>890900943</v>
      </c>
      <c r="D83">
        <v>1</v>
      </c>
    </row>
    <row r="84">
      <c r="A84" t="str">
        <v>COLTEFINANCIERA</v>
      </c>
      <c r="B84">
        <v>8909270349</v>
      </c>
      <c r="C84">
        <v>890927034</v>
      </c>
      <c r="D84">
        <v>9</v>
      </c>
    </row>
    <row r="85">
      <c r="A85" t="str">
        <v>COMERCIALIZADORA HOMAZ S.A.S.</v>
      </c>
      <c r="B85">
        <v>8160031865</v>
      </c>
      <c r="C85">
        <v>816003186</v>
      </c>
      <c r="D85">
        <v>5</v>
      </c>
    </row>
    <row r="86">
      <c r="A86" t="str">
        <v>COMERCIALIZADORA TEXTILES Y MODA S.A.S.</v>
      </c>
      <c r="B86">
        <v>8301015916</v>
      </c>
      <c r="C86">
        <v>830101591</v>
      </c>
      <c r="D86">
        <v>6</v>
      </c>
    </row>
    <row r="87">
      <c r="A87" t="str">
        <v>COMPAÑÍA COLOMBIANA AUTOMOTRIZ</v>
      </c>
      <c r="B87">
        <v>8600385156</v>
      </c>
      <c r="C87">
        <v>860038515</v>
      </c>
      <c r="D87">
        <v>6</v>
      </c>
    </row>
    <row r="88">
      <c r="A88" t="str">
        <v>CONAVI</v>
      </c>
      <c r="B88">
        <v>8909133414</v>
      </c>
      <c r="C88">
        <v>890913341</v>
      </c>
      <c r="D88">
        <v>4</v>
      </c>
    </row>
    <row r="89">
      <c r="A89" t="str">
        <v>CONCARRO</v>
      </c>
      <c r="B89">
        <v>8000903818</v>
      </c>
      <c r="C89">
        <v>800090381</v>
      </c>
      <c r="D89">
        <v>8</v>
      </c>
    </row>
    <row r="90">
      <c r="A90" t="str">
        <v>CONCESIONARIO YAMAHA MOTOS</v>
      </c>
      <c r="B90">
        <v>9120579988</v>
      </c>
      <c r="C90">
        <v>912057998</v>
      </c>
      <c r="D90">
        <v>8</v>
      </c>
    </row>
    <row r="91">
      <c r="A91" t="str">
        <v>CONFINANCIERA S.A.</v>
      </c>
      <c r="B91">
        <v>8600545311</v>
      </c>
      <c r="C91">
        <v>860054531</v>
      </c>
      <c r="D91">
        <v>1</v>
      </c>
    </row>
    <row r="92">
      <c r="A92" t="str">
        <v>CONFINAUTOS</v>
      </c>
      <c r="B92">
        <v>8600464484</v>
      </c>
      <c r="C92">
        <v>860046448</v>
      </c>
      <c r="D92">
        <v>4</v>
      </c>
    </row>
    <row r="93">
      <c r="A93" t="str">
        <v>CONFIRMEZA S.A.S.</v>
      </c>
      <c r="B93">
        <v>9004287437</v>
      </c>
      <c r="C93">
        <v>900428743</v>
      </c>
      <c r="D93">
        <v>7</v>
      </c>
    </row>
    <row r="94">
      <c r="A94" t="str">
        <v>CONSTRUCTORA CAPITAL BOGOTA S.A.S.</v>
      </c>
      <c r="B94">
        <v>9001927116</v>
      </c>
      <c r="C94">
        <v>900192711</v>
      </c>
      <c r="D94">
        <v>6</v>
      </c>
    </row>
    <row r="95">
      <c r="A95" t="str">
        <v>CONSTRUCTORA CAPITAL MEDELLIN S.A.S.</v>
      </c>
      <c r="B95">
        <v>8110322923</v>
      </c>
      <c r="C95">
        <v>811032292</v>
      </c>
      <c r="D95">
        <v>3</v>
      </c>
    </row>
    <row r="96">
      <c r="A96" t="str">
        <v>COOBACALI</v>
      </c>
      <c r="B96">
        <v>8050199663</v>
      </c>
      <c r="C96">
        <v>805019966</v>
      </c>
      <c r="D96">
        <v>3</v>
      </c>
    </row>
    <row r="97">
      <c r="A97" t="str">
        <v>COOMEVA</v>
      </c>
      <c r="B97">
        <v>8903006251</v>
      </c>
      <c r="C97">
        <v>890300625</v>
      </c>
      <c r="D97">
        <v>1</v>
      </c>
    </row>
    <row r="98">
      <c r="A98" t="str">
        <v>COOMEVA COOPERATIVA FINANCIERA</v>
      </c>
      <c r="B98">
        <v>9001721483</v>
      </c>
      <c r="C98">
        <v>900172148</v>
      </c>
      <c r="D98">
        <v>3</v>
      </c>
    </row>
    <row r="99">
      <c r="A99" t="str">
        <v>COOP CAFAM</v>
      </c>
      <c r="B99">
        <v>8600493630</v>
      </c>
      <c r="C99">
        <v>860049363</v>
      </c>
      <c r="D99">
        <v>0</v>
      </c>
    </row>
    <row r="100">
      <c r="A100" t="str">
        <v>COOPANTEX</v>
      </c>
      <c r="B100">
        <v>8909048431</v>
      </c>
      <c r="C100">
        <v>890904843</v>
      </c>
      <c r="D100">
        <v>1</v>
      </c>
    </row>
    <row r="101">
      <c r="A101" t="str">
        <v>COOPDESARROLLO</v>
      </c>
      <c r="B101">
        <v>8600135577</v>
      </c>
      <c r="C101">
        <v>860013557</v>
      </c>
      <c r="D101">
        <v>7</v>
      </c>
    </row>
    <row r="102">
      <c r="A102" t="str">
        <v>COOPEBIS - COOPERATIVA PARA EL BIENESTAR SOCIAL</v>
      </c>
      <c r="B102">
        <v>8605148231</v>
      </c>
      <c r="C102">
        <v>860514823</v>
      </c>
      <c r="D102">
        <v>1</v>
      </c>
    </row>
    <row r="103">
      <c r="A103" t="str">
        <v>COOPERATIVA BELÉN AHORRO Y CRÉDITO "COBELEN"</v>
      </c>
      <c r="B103">
        <v>8909092467</v>
      </c>
      <c r="C103">
        <v>890909246</v>
      </c>
      <c r="D103">
        <v>7</v>
      </c>
    </row>
    <row r="104">
      <c r="A104" t="str">
        <v>COOPERATIVA DE AHORRO Y CREDITO CREAR LTDA</v>
      </c>
      <c r="B104">
        <v>8909814594</v>
      </c>
      <c r="C104">
        <v>890981459</v>
      </c>
      <c r="D104">
        <v>4</v>
      </c>
    </row>
    <row r="105">
      <c r="A105" t="str">
        <v>COOPERATIVA DE AHORRO Y CRÉDITO DE LOS TRABAJADORES DE LA EDUCACIÓN DE RISARALDA "COOEDUCAR"</v>
      </c>
      <c r="B105">
        <v>8914097473</v>
      </c>
      <c r="C105">
        <v>891409747</v>
      </c>
      <c r="D105">
        <v>3</v>
      </c>
    </row>
    <row r="106">
      <c r="A106" t="str">
        <v>COOPERATIVA DE AHORRO Y CREDITO FINCOMERCIO LTDA</v>
      </c>
      <c r="B106">
        <v>8600073275</v>
      </c>
      <c r="C106">
        <v>860007327</v>
      </c>
      <c r="D106">
        <v>5</v>
      </c>
    </row>
    <row r="107">
      <c r="A107" t="str">
        <v>COOPERATIVA DE AHORRO Y CRÉDITO GOMEZ PLATA LTDA</v>
      </c>
      <c r="B107">
        <v>8909857723</v>
      </c>
      <c r="C107">
        <v>890985772</v>
      </c>
      <c r="D107">
        <v>3</v>
      </c>
    </row>
    <row r="108">
      <c r="A108" t="str">
        <v>COOPERATIVA DE AHORRO Y CREDITO UNIMOS</v>
      </c>
      <c r="B108">
        <v>8301434767</v>
      </c>
      <c r="C108">
        <v>830143476</v>
      </c>
      <c r="D108">
        <v>7</v>
      </c>
    </row>
    <row r="109">
      <c r="A109" t="str">
        <v>COOPERATIVA DE AHORRO Y CRÉDITO UNIVERSIDAD SANTO TOMÁS - USTACOOP LTDA</v>
      </c>
      <c r="B109">
        <v>8600451722</v>
      </c>
      <c r="C109">
        <v>860045172</v>
      </c>
      <c r="D109">
        <v>2</v>
      </c>
    </row>
    <row r="110">
      <c r="A110" t="str">
        <v>COOPERATIVA DE COMUNICACIONES DE CALDAS</v>
      </c>
      <c r="B110">
        <v>8908011109</v>
      </c>
      <c r="C110">
        <v>890801110</v>
      </c>
      <c r="D110">
        <v>9</v>
      </c>
    </row>
    <row r="111">
      <c r="A111" t="str">
        <v>COOPERATIVA DE EMPLEADOS EXXONMOBIL DE COLOMBIA</v>
      </c>
      <c r="B111">
        <v>8600218496</v>
      </c>
      <c r="C111">
        <v>860021849</v>
      </c>
      <c r="D111">
        <v>6</v>
      </c>
    </row>
    <row r="112">
      <c r="A112" t="str">
        <v>COOPERATIVA DE EMPLEADOS GIROS &amp; FINANZAS C.F.C. S.A.</v>
      </c>
      <c r="B112">
        <v>8050112638</v>
      </c>
      <c r="C112">
        <v>805011263</v>
      </c>
      <c r="D112">
        <v>8</v>
      </c>
    </row>
    <row r="113">
      <c r="A113" t="str">
        <v>COOPERATIVA DE LOS TRABAJADORES DEL ISS</v>
      </c>
      <c r="B113">
        <v>8600143971</v>
      </c>
      <c r="C113">
        <v>860014397</v>
      </c>
      <c r="D113">
        <v>1</v>
      </c>
    </row>
    <row r="114">
      <c r="A114" t="str">
        <v>COOPERATIVA DE PROFESORES DE LA UNIVERSIDAD DE ANTIOQUIA "COOPRUDEA"</v>
      </c>
      <c r="B114">
        <v>8909850321</v>
      </c>
      <c r="C114">
        <v>890985032</v>
      </c>
      <c r="D114">
        <v>1</v>
      </c>
    </row>
    <row r="115">
      <c r="A115" t="str">
        <v>COOPERATIVA DE TRABAJADORES DEL SENA "COOTRASENA"</v>
      </c>
      <c r="B115">
        <v>8909068527</v>
      </c>
      <c r="C115">
        <v>890906852</v>
      </c>
      <c r="D115">
        <v>7</v>
      </c>
    </row>
    <row r="116">
      <c r="A116" t="str">
        <v>COOPERATIVA DE YARUMAL</v>
      </c>
      <c r="B116">
        <v>8909052064</v>
      </c>
      <c r="C116">
        <v>890905206</v>
      </c>
      <c r="D116">
        <v>4</v>
      </c>
    </row>
    <row r="117">
      <c r="A117" t="str">
        <v>COOPERATIVA DEL MUNICIPIO DE PEREIRA Y DEL DEPARTAMENTO DE RISARALDA</v>
      </c>
      <c r="B117">
        <v>8914006467</v>
      </c>
      <c r="C117">
        <v>891400646</v>
      </c>
      <c r="D117">
        <v>7</v>
      </c>
    </row>
    <row r="118">
      <c r="A118" t="str">
        <v>COOPERATIVA EMPRESARIAL DE AHORRO Y CREDITO COOVITEL</v>
      </c>
      <c r="B118">
        <v>8600150170</v>
      </c>
      <c r="C118">
        <v>860015017</v>
      </c>
      <c r="D118">
        <v>0</v>
      </c>
    </row>
    <row r="119">
      <c r="A119" t="str">
        <v>COOPERATIVA ESPECIALIZADA DE AHORRO DE AHORRO Y CRÉDITO CANAPRO - COOPCANAPRO</v>
      </c>
      <c r="B119">
        <v>9004600591</v>
      </c>
      <c r="C119">
        <v>900460059</v>
      </c>
      <c r="D119">
        <v>1</v>
      </c>
    </row>
    <row r="120">
      <c r="A120" t="str">
        <v>COOPERATIVA ESPECIALIZADA DE AHORRO Y CREDITO TAX LA FERIA</v>
      </c>
      <c r="B120">
        <v>9010002148</v>
      </c>
      <c r="C120">
        <v>901000214</v>
      </c>
      <c r="D120">
        <v>8</v>
      </c>
    </row>
    <row r="121">
      <c r="A121" t="str">
        <v>COOPERATIVA MULTIACTIVA DE LA AVIACIÓN CIVIL COLOMBIANA LTDA</v>
      </c>
      <c r="B121">
        <v>8605205478</v>
      </c>
      <c r="C121">
        <v>860520547</v>
      </c>
      <c r="D121">
        <v>8</v>
      </c>
    </row>
    <row r="122">
      <c r="A122" t="str">
        <v>COOPERATIVA NACIONAL DE AHORRO Y CREDITO AVANZA</v>
      </c>
      <c r="B122">
        <v>8900023771</v>
      </c>
      <c r="C122">
        <v>890002377</v>
      </c>
      <c r="D122">
        <v>1</v>
      </c>
    </row>
    <row r="123">
      <c r="A123" t="str">
        <v>COOPERATIVA RIACHON</v>
      </c>
      <c r="B123">
        <v>8909100874</v>
      </c>
      <c r="C123">
        <v>890910087</v>
      </c>
      <c r="D123">
        <v>4</v>
      </c>
    </row>
    <row r="124">
      <c r="A124" t="str">
        <v>COOPERATIVADE SERVIDORES PUBLICOS Y JUBILADOS DE COLOMBIA</v>
      </c>
      <c r="B124">
        <v>8050040349</v>
      </c>
      <c r="C124">
        <v>805004034</v>
      </c>
      <c r="D124">
        <v>9</v>
      </c>
    </row>
    <row r="125">
      <c r="A125" t="str">
        <v>COOPFILIGRANA</v>
      </c>
      <c r="B125">
        <v>8300718071</v>
      </c>
      <c r="C125">
        <v>830071807</v>
      </c>
      <c r="D125">
        <v>1</v>
      </c>
    </row>
    <row r="126">
      <c r="A126" t="str">
        <v>COOPMINCOM</v>
      </c>
      <c r="B126">
        <v>8600159640</v>
      </c>
      <c r="C126">
        <v>860015964</v>
      </c>
      <c r="D126">
        <v>0</v>
      </c>
    </row>
    <row r="127">
      <c r="A127" t="str">
        <v>COOPROFESIONALES LTDA</v>
      </c>
      <c r="B127">
        <v>8902037291</v>
      </c>
      <c r="C127">
        <v>890203729</v>
      </c>
      <c r="D127">
        <v>1</v>
      </c>
    </row>
    <row r="128">
      <c r="A128" t="str">
        <v>COPACREDITO</v>
      </c>
      <c r="B128">
        <v>8902018545</v>
      </c>
      <c r="C128">
        <v>890201854</v>
      </c>
      <c r="D128">
        <v>5</v>
      </c>
    </row>
    <row r="129">
      <c r="A129" t="str">
        <v>COPERATIVA MULTIACTIVA UNION COLOMBIANA</v>
      </c>
      <c r="B129">
        <v>9000684381</v>
      </c>
      <c r="C129">
        <v>900068438</v>
      </c>
      <c r="D129">
        <v>1</v>
      </c>
    </row>
    <row r="130">
      <c r="A130" t="str">
        <v>CORNOTARE</v>
      </c>
      <c r="B130">
        <v>8600370738</v>
      </c>
      <c r="C130">
        <v>860037073</v>
      </c>
      <c r="D130">
        <v>8</v>
      </c>
    </row>
    <row r="131">
      <c r="A131" t="str">
        <v>CORPORACION CCC S.A.</v>
      </c>
      <c r="B131">
        <v>8305137935</v>
      </c>
      <c r="C131">
        <v>830513793</v>
      </c>
      <c r="D131">
        <v>5</v>
      </c>
    </row>
    <row r="132">
      <c r="A132" t="str">
        <v>CORPORACIÓN DE INTERMEDIARIO DE MAPFRE</v>
      </c>
      <c r="B132">
        <v>8000944513</v>
      </c>
      <c r="C132">
        <v>800094451</v>
      </c>
      <c r="D132">
        <v>3</v>
      </c>
    </row>
    <row r="133">
      <c r="A133" t="str">
        <v>CORPORACION FONDO DE EMPLEADOS DE LA INDUSTRIA PETROLERA</v>
      </c>
      <c r="B133">
        <v>8605334523</v>
      </c>
      <c r="C133">
        <v>860533452</v>
      </c>
      <c r="D133">
        <v>3</v>
      </c>
    </row>
    <row r="134">
      <c r="A134" t="str">
        <v>CORPORACION SOCIAL DE CUNDINAMARCA</v>
      </c>
      <c r="B134">
        <v>8999994217</v>
      </c>
      <c r="C134">
        <v>899999421</v>
      </c>
      <c r="D134">
        <v>7</v>
      </c>
    </row>
    <row r="135">
      <c r="A135" t="str">
        <v>CORPOTAXIS</v>
      </c>
      <c r="B135">
        <v>8001705230</v>
      </c>
      <c r="C135">
        <v>800170523</v>
      </c>
      <c r="D135">
        <v>0</v>
      </c>
    </row>
    <row r="136">
      <c r="A136" t="str">
        <v>COVINOC S.A.</v>
      </c>
      <c r="B136">
        <v>8600284621</v>
      </c>
      <c r="C136">
        <v>860028462</v>
      </c>
      <c r="D136">
        <v>1</v>
      </c>
    </row>
    <row r="137">
      <c r="A137" t="str">
        <v>CREDIBANCO</v>
      </c>
      <c r="B137">
        <v>8600329097</v>
      </c>
      <c r="C137">
        <v>860032909</v>
      </c>
      <c r="D137">
        <v>7</v>
      </c>
    </row>
    <row r="138">
      <c r="A138" t="str">
        <v>CREDIOFERTAS S.A.S.</v>
      </c>
      <c r="B138">
        <v>8110058562</v>
      </c>
      <c r="C138">
        <v>811005856</v>
      </c>
      <c r="D138">
        <v>2</v>
      </c>
    </row>
    <row r="139">
      <c r="A139" t="str">
        <v>CREDITOS COMERCIALES DIRECTOS S.A.S.</v>
      </c>
      <c r="B139">
        <v>9009646548</v>
      </c>
      <c r="C139">
        <v>900964654</v>
      </c>
      <c r="D139">
        <v>8</v>
      </c>
    </row>
    <row r="140">
      <c r="A140" t="str">
        <v>CREDITOS ORBE S.A.</v>
      </c>
      <c r="B140">
        <v>90033525933</v>
      </c>
      <c r="C140">
        <v>9003352593</v>
      </c>
      <c r="D140">
        <v>3</v>
      </c>
    </row>
    <row r="141">
      <c r="A141" t="str">
        <v>CREDIUNO S.A.S.</v>
      </c>
      <c r="B141">
        <v>9011041835</v>
      </c>
      <c r="C141">
        <v>901104183</v>
      </c>
      <c r="D141">
        <v>5</v>
      </c>
    </row>
    <row r="142">
      <c r="A142" t="str">
        <v>DAIMLER COLOMBIA S.A.</v>
      </c>
      <c r="B142">
        <v>8300442662</v>
      </c>
      <c r="C142">
        <v>830044266</v>
      </c>
      <c r="D142">
        <v>2</v>
      </c>
    </row>
    <row r="143">
      <c r="A143" t="str">
        <v>DEL LLANO BIKES S.A.S.</v>
      </c>
      <c r="B143">
        <v>9005626155</v>
      </c>
      <c r="C143">
        <v>900562615</v>
      </c>
      <c r="D143">
        <v>5</v>
      </c>
    </row>
    <row r="144">
      <c r="A144" t="str">
        <v>DELOITTE &amp; TOUCHE LTDA</v>
      </c>
      <c r="B144">
        <v>8600058134</v>
      </c>
      <c r="C144">
        <v>860005813</v>
      </c>
      <c r="D144">
        <v>4</v>
      </c>
    </row>
    <row r="145">
      <c r="A145" t="str">
        <v>DELTA BOLIVAR S.A.</v>
      </c>
      <c r="B145">
        <v>8600026711</v>
      </c>
      <c r="C145">
        <v>860002671</v>
      </c>
      <c r="D145">
        <v>1</v>
      </c>
    </row>
    <row r="146">
      <c r="A146" t="str">
        <v>DIAL SEGUROS LTDA</v>
      </c>
      <c r="B146">
        <v>9004163165</v>
      </c>
      <c r="C146">
        <v>900416316</v>
      </c>
      <c r="D146">
        <v>5</v>
      </c>
    </row>
    <row r="147">
      <c r="A147" t="str">
        <v>DISTRIBUIDORA DE MOTOS DE ORIENTE S.A.</v>
      </c>
      <c r="B147">
        <v>9001887110</v>
      </c>
      <c r="C147">
        <v>900188711</v>
      </c>
      <c r="D147">
        <v>0</v>
      </c>
    </row>
    <row r="148">
      <c r="A148" t="str">
        <v>DISTRIBUIDORA LOS COCHES LA SABANA S.A.</v>
      </c>
      <c r="B148">
        <v>8600526342</v>
      </c>
      <c r="C148">
        <v>860052634</v>
      </c>
      <c r="D148">
        <v>2</v>
      </c>
    </row>
    <row r="149">
      <c r="A149" t="str">
        <v>DISTRIBUIDORA RAYCO S.A.S.</v>
      </c>
      <c r="B149">
        <v>8902066115</v>
      </c>
      <c r="C149">
        <v>890206611</v>
      </c>
      <c r="D149">
        <v>5</v>
      </c>
    </row>
    <row r="150">
      <c r="A150" t="str">
        <v>DISTRIMOTOS DEL PUERTO</v>
      </c>
      <c r="B150">
        <v>9006055114</v>
      </c>
      <c r="C150">
        <v>900605511</v>
      </c>
      <c r="D150">
        <v>4</v>
      </c>
    </row>
    <row r="151">
      <c r="A151" t="str">
        <v>EL BANCO COOPERATIVO COOPCENTRAL- COOPCENTRAL</v>
      </c>
      <c r="B151">
        <v>8902030889</v>
      </c>
      <c r="C151">
        <v>890203088</v>
      </c>
      <c r="D151">
        <v>9</v>
      </c>
    </row>
    <row r="152">
      <c r="A152" t="str">
        <v>EL COLOMBIANO S.A &amp; CIA .S.C</v>
      </c>
      <c r="B152">
        <v>8909013523</v>
      </c>
      <c r="C152">
        <v>890901352</v>
      </c>
      <c r="D152">
        <v>3</v>
      </c>
    </row>
    <row r="153">
      <c r="A153" t="str">
        <v>EL FONDO DE EMPLEADOS DE EUROCERAMICA</v>
      </c>
      <c r="B153">
        <v>8110134216</v>
      </c>
      <c r="C153">
        <v>811013421</v>
      </c>
      <c r="D153">
        <v>6</v>
      </c>
    </row>
    <row r="154">
      <c r="A154" t="str">
        <v>ELECTROPLAN S.A.</v>
      </c>
      <c r="B154">
        <v>8000266960</v>
      </c>
      <c r="C154">
        <v>800026696</v>
      </c>
      <c r="D154">
        <v>0</v>
      </c>
    </row>
    <row r="155">
      <c r="A155" t="str">
        <v>EMPRESA DE TELECOMUNICACIONES DE PEREIRA S.A.</v>
      </c>
      <c r="B155">
        <v>8160020181</v>
      </c>
      <c r="C155">
        <v>816002018</v>
      </c>
      <c r="D155">
        <v>1</v>
      </c>
    </row>
    <row r="156">
      <c r="A156" t="str">
        <v>EMPRESAS PUBLICAS DE MEDELLIN E.S.P</v>
      </c>
      <c r="B156">
        <v>8909049961</v>
      </c>
      <c r="C156">
        <v>890904996</v>
      </c>
      <c r="D156">
        <v>1</v>
      </c>
    </row>
    <row r="157">
      <c r="A157" t="str">
        <v>EMTELCO S.A.</v>
      </c>
      <c r="B157">
        <v>8002374565</v>
      </c>
      <c r="C157">
        <v>800237456</v>
      </c>
      <c r="D157">
        <v>5</v>
      </c>
    </row>
    <row r="158">
      <c r="A158" t="str">
        <v>ENERGIFONDO</v>
      </c>
      <c r="B158">
        <v>8050039101</v>
      </c>
      <c r="C158">
        <v>805003910</v>
      </c>
      <c r="D158">
        <v>1</v>
      </c>
    </row>
    <row r="159">
      <c r="A159" t="str">
        <v>ENTERPRISE INGENIERIA S.A.S.</v>
      </c>
      <c r="B159">
        <v>9004179411</v>
      </c>
      <c r="C159">
        <v>900417941</v>
      </c>
      <c r="D159">
        <v>1</v>
      </c>
    </row>
    <row r="160">
      <c r="A160" t="str">
        <v>ENTIDAD HYUNDAI CRÉDITOS</v>
      </c>
      <c r="B160">
        <v>9004157835</v>
      </c>
      <c r="C160">
        <v>900415783</v>
      </c>
      <c r="D160">
        <v>5</v>
      </c>
    </row>
    <row r="161">
      <c r="A161" t="str">
        <v>FEBANCOLOMBIA</v>
      </c>
      <c r="B161">
        <v>8600292003</v>
      </c>
      <c r="C161">
        <v>860029200</v>
      </c>
      <c r="D161">
        <v>3</v>
      </c>
    </row>
    <row r="162">
      <c r="A162" t="str">
        <v>FECOOMEVA</v>
      </c>
      <c r="B162">
        <v>8000053404</v>
      </c>
      <c r="C162">
        <v>800005340</v>
      </c>
      <c r="D162">
        <v>4</v>
      </c>
    </row>
    <row r="163">
      <c r="A163" t="str">
        <v>FEDEVEGAS</v>
      </c>
      <c r="B163">
        <v>8110273795</v>
      </c>
      <c r="C163">
        <v>811027379</v>
      </c>
      <c r="D163">
        <v>5</v>
      </c>
    </row>
    <row r="164">
      <c r="A164" t="str">
        <v>FEINCOPAC</v>
      </c>
      <c r="B164">
        <v>8050092498</v>
      </c>
      <c r="C164">
        <v>805009249</v>
      </c>
      <c r="D164">
        <v>8</v>
      </c>
    </row>
    <row r="165">
      <c r="A165" t="str">
        <v>FEMPROGEL FONDO DE EMPLEADOS DE PROGEL Y DESCAFECOL</v>
      </c>
      <c r="B165">
        <v>8000398085</v>
      </c>
      <c r="C165">
        <v>800039808</v>
      </c>
      <c r="D165">
        <v>5</v>
      </c>
    </row>
    <row r="166">
      <c r="A166" t="str">
        <v>FENALCA S.A.</v>
      </c>
      <c r="B166">
        <v>8903018861</v>
      </c>
      <c r="C166">
        <v>890301886</v>
      </c>
      <c r="D166">
        <v>1</v>
      </c>
    </row>
    <row r="167">
      <c r="A167" t="str">
        <v>FENALCO</v>
      </c>
      <c r="B167">
        <v>8903032157</v>
      </c>
      <c r="C167">
        <v>890303215</v>
      </c>
      <c r="D167">
        <v>7</v>
      </c>
    </row>
    <row r="168">
      <c r="A168" t="str">
        <v>FERRACEROS S.A.S</v>
      </c>
      <c r="B168">
        <v>9000610962</v>
      </c>
      <c r="C168">
        <v>900061096</v>
      </c>
      <c r="D168">
        <v>2</v>
      </c>
    </row>
    <row r="169">
      <c r="A169" t="str">
        <v>FINANCENTER S.A.S.</v>
      </c>
      <c r="B169">
        <v>9003566407</v>
      </c>
      <c r="C169">
        <v>900356640</v>
      </c>
      <c r="D169">
        <v>7</v>
      </c>
    </row>
    <row r="170">
      <c r="A170" t="str">
        <v>FINANCIERA COMPARTIR S.A. C.F.C</v>
      </c>
      <c r="B170">
        <v>8002500487</v>
      </c>
      <c r="C170">
        <v>800250048</v>
      </c>
      <c r="D170">
        <v>7</v>
      </c>
    </row>
    <row r="171">
      <c r="A171" t="str">
        <v>FINANCIERA COMULTRASAN</v>
      </c>
      <c r="B171">
        <v>8040097528</v>
      </c>
      <c r="C171">
        <v>804009752</v>
      </c>
      <c r="D171">
        <v>8</v>
      </c>
    </row>
    <row r="172">
      <c r="A172" t="str">
        <v>FINANCIERA DEL VALLE</v>
      </c>
      <c r="B172">
        <v>8903006536</v>
      </c>
      <c r="C172">
        <v>890300653</v>
      </c>
      <c r="D172">
        <v>6</v>
      </c>
    </row>
    <row r="173">
      <c r="A173" t="str">
        <v>FINANCIERA INTERNACIONAL S.A.</v>
      </c>
      <c r="B173">
        <v>8600659139</v>
      </c>
      <c r="C173">
        <v>860065913</v>
      </c>
      <c r="D173">
        <v>9</v>
      </c>
    </row>
    <row r="174">
      <c r="A174" t="str">
        <v>FINANCIERA JURISCOOP SA COMPAÑÍA DE FINANCIAMIENTO</v>
      </c>
      <c r="B174">
        <v>9006880663</v>
      </c>
      <c r="C174">
        <v>900688066</v>
      </c>
      <c r="D174">
        <v>3</v>
      </c>
    </row>
    <row r="175">
      <c r="A175" t="str">
        <v>FINANTEX S.A.S.</v>
      </c>
      <c r="B175">
        <v>9001245560</v>
      </c>
      <c r="C175">
        <v>900124556</v>
      </c>
      <c r="D175">
        <v>0</v>
      </c>
    </row>
    <row r="176">
      <c r="A176" t="str">
        <v>FINANZA</v>
      </c>
      <c r="B176">
        <v>8605600040</v>
      </c>
      <c r="C176">
        <v>860560004</v>
      </c>
      <c r="D176">
        <v>0</v>
      </c>
    </row>
    <row r="177">
      <c r="A177" t="str">
        <v>FINANZAUTO S.A.</v>
      </c>
      <c r="B177">
        <v>8600286019</v>
      </c>
      <c r="C177">
        <v>860028601</v>
      </c>
      <c r="D177">
        <v>9</v>
      </c>
    </row>
    <row r="178">
      <c r="A178" t="str">
        <v>FINAVANZA S.A.</v>
      </c>
      <c r="B178">
        <v>9001229691</v>
      </c>
      <c r="C178">
        <v>900122969</v>
      </c>
      <c r="D178">
        <v>1</v>
      </c>
    </row>
    <row r="179">
      <c r="A179" t="str">
        <v>FINDETER</v>
      </c>
      <c r="B179">
        <v>8000963291</v>
      </c>
      <c r="C179">
        <v>800096329</v>
      </c>
      <c r="D179">
        <v>1</v>
      </c>
    </row>
    <row r="180">
      <c r="A180" t="str">
        <v>FINESA S.A.</v>
      </c>
      <c r="B180">
        <v>8050126105</v>
      </c>
      <c r="C180">
        <v>805012610</v>
      </c>
      <c r="D180">
        <v>5</v>
      </c>
    </row>
    <row r="181">
      <c r="A181" t="str">
        <v>FINEVESA</v>
      </c>
      <c r="B181">
        <v>8600564946</v>
      </c>
      <c r="C181">
        <v>860056494</v>
      </c>
      <c r="D181">
        <v>6</v>
      </c>
    </row>
    <row r="182">
      <c r="A182" t="str">
        <v>FNAN INTERNACIONAL</v>
      </c>
      <c r="B182">
        <v>8600658179</v>
      </c>
      <c r="C182">
        <v>860065817</v>
      </c>
      <c r="D182">
        <v>9</v>
      </c>
    </row>
    <row r="183">
      <c r="A183" t="str">
        <v>FON-2 S.A.S</v>
      </c>
      <c r="B183">
        <v>9000114574</v>
      </c>
      <c r="C183">
        <v>900011457</v>
      </c>
      <c r="D183">
        <v>4</v>
      </c>
    </row>
    <row r="184">
      <c r="A184" t="str">
        <v>FONAVIEMCALI (FONDO DE EMPLEADOS DE LAS EMPRESAS MUNICIPALES DE CALI)</v>
      </c>
      <c r="B184">
        <v>8903110068</v>
      </c>
      <c r="C184">
        <v>890311006</v>
      </c>
      <c r="D184">
        <v>8</v>
      </c>
    </row>
    <row r="185">
      <c r="A185" t="str">
        <v>FONCALDAS FONDO DE EMPLEADOS UNIVERSIDAD DE CALDAS</v>
      </c>
      <c r="B185">
        <v>8908017337</v>
      </c>
      <c r="C185">
        <v>890801733</v>
      </c>
      <c r="D185">
        <v>7</v>
      </c>
    </row>
    <row r="186">
      <c r="A186" t="str">
        <v>FONDEARME FONDO DE EMPLEADOS DE LAS EMPRESAS ARME S.A., ARMETALES S.A., ARMOTOR S.A.</v>
      </c>
      <c r="B186">
        <v>8908067553</v>
      </c>
      <c r="C186">
        <v>890806755</v>
      </c>
      <c r="D186">
        <v>3</v>
      </c>
    </row>
    <row r="187">
      <c r="A187" t="str">
        <v>FONDO DE AHORROS EMPLEADOS RAYCO</v>
      </c>
      <c r="B187">
        <v>9000324076</v>
      </c>
      <c r="C187">
        <v>900032407</v>
      </c>
      <c r="D187">
        <v>6</v>
      </c>
    </row>
    <row r="188">
      <c r="A188" t="str">
        <v>FONDO DE EMPLEA DOS EXXONMOBIL</v>
      </c>
      <c r="B188">
        <v>8600073458</v>
      </c>
      <c r="C188">
        <v>860007345</v>
      </c>
      <c r="D188">
        <v>8</v>
      </c>
    </row>
    <row r="189">
      <c r="A189" t="str">
        <v>FONDO DE EMPLEADO FEMSA</v>
      </c>
      <c r="B189">
        <v>8605300240</v>
      </c>
      <c r="C189">
        <v>860530024</v>
      </c>
      <c r="D189">
        <v>0</v>
      </c>
    </row>
    <row r="190">
      <c r="A190" t="str">
        <v>FONDO DE EMPLEADOS ALMACENES EXITOS PRESENTE</v>
      </c>
      <c r="B190">
        <v>8001839870</v>
      </c>
      <c r="C190">
        <v>800183987</v>
      </c>
      <c r="D190">
        <v>0</v>
      </c>
    </row>
    <row r="191">
      <c r="A191" t="str">
        <v>FONDO DE EMPLEADOS BANCO DE OCCIDENTE</v>
      </c>
      <c r="B191">
        <v>8903084582</v>
      </c>
      <c r="C191">
        <v>890308458</v>
      </c>
      <c r="D191">
        <v>2</v>
      </c>
    </row>
    <row r="192">
      <c r="A192" t="str">
        <v>FONDO DE EMPLEADOS COMFAMILIAR RISARALDA</v>
      </c>
      <c r="B192">
        <v>8914122577</v>
      </c>
      <c r="C192">
        <v>891412257</v>
      </c>
      <c r="D192">
        <v>7</v>
      </c>
    </row>
    <row r="193">
      <c r="A193" t="str">
        <v>FONDO DE EMPLEADOS DE ABRASIVOS DE COLOMBIA</v>
      </c>
      <c r="B193">
        <v>8110219464</v>
      </c>
      <c r="C193">
        <v>811021946</v>
      </c>
      <c r="D193">
        <v>4</v>
      </c>
    </row>
    <row r="194">
      <c r="A194" t="str">
        <v>FONDO DE EMPLEADOS DE ACTIVOS FEDAC</v>
      </c>
      <c r="B194">
        <v>8001416994</v>
      </c>
      <c r="C194">
        <v>800141699</v>
      </c>
      <c r="D194">
        <v>4</v>
      </c>
    </row>
    <row r="195">
      <c r="A195" t="str">
        <v>FONDO DE EMPLEADOS DE ALMAVIVA - FEVIVA</v>
      </c>
      <c r="B195">
        <v>8600146910</v>
      </c>
      <c r="C195">
        <v>860014691</v>
      </c>
      <c r="D195">
        <v>0</v>
      </c>
    </row>
    <row r="196">
      <c r="A196" t="str">
        <v>FONDO DE EMPLEADOS DE AVON COLOMBIA LTDA</v>
      </c>
      <c r="B196">
        <v>9001533851</v>
      </c>
      <c r="C196">
        <v>900153385</v>
      </c>
      <c r="D196">
        <v>1</v>
      </c>
    </row>
    <row r="197">
      <c r="A197" t="str">
        <v>FONDO DE EMPLEADOS DE CORANTIOQUIA FECORA</v>
      </c>
      <c r="B197">
        <v>8110313586</v>
      </c>
      <c r="C197">
        <v>811031358</v>
      </c>
      <c r="D197">
        <v>6</v>
      </c>
    </row>
    <row r="198">
      <c r="A198" t="str">
        <v>FONDO DE EMPLEADOS DE CRISALLTEX S.A</v>
      </c>
      <c r="B198">
        <v>9002428861</v>
      </c>
      <c r="C198">
        <v>900242886</v>
      </c>
      <c r="D198">
        <v>1</v>
      </c>
    </row>
    <row r="199">
      <c r="A199" t="str">
        <v>FONDO DE EMPLEADOS DE EMPRESAS DEL CAFÉ - FOEMCA</v>
      </c>
      <c r="B199">
        <v>8100032102</v>
      </c>
      <c r="C199">
        <v>810003210</v>
      </c>
      <c r="D199">
        <v>2</v>
      </c>
    </row>
    <row r="200">
      <c r="A200" t="str">
        <v>FONDO DE EMPLEADOS DE EMPRESAS FALABELLA DE COLOMBIA</v>
      </c>
      <c r="B200">
        <v>9002441974</v>
      </c>
      <c r="C200">
        <v>900244197</v>
      </c>
      <c r="D200">
        <v>4</v>
      </c>
    </row>
    <row r="201">
      <c r="A201" t="str">
        <v>FONDO DE EMPLEADOS DE EMPRESAS PUBLICAS DE MEDELLIN</v>
      </c>
      <c r="B201">
        <v>8000253044</v>
      </c>
      <c r="C201">
        <v>800025304</v>
      </c>
      <c r="D201">
        <v>4</v>
      </c>
    </row>
    <row r="202">
      <c r="A202" t="str">
        <v>FONDO DE EMPLEADOS DE FORTOX</v>
      </c>
      <c r="B202">
        <v>8001723620</v>
      </c>
      <c r="C202">
        <v>800172362</v>
      </c>
      <c r="D202">
        <v>0</v>
      </c>
    </row>
    <row r="203">
      <c r="A203" t="str">
        <v>FONDO DE EMPLEADOS DE GRANTIERRA ENERGY COLOMBIA LTDA</v>
      </c>
      <c r="B203">
        <v>9002298012</v>
      </c>
      <c r="C203">
        <v>900229801</v>
      </c>
      <c r="D203">
        <v>2</v>
      </c>
    </row>
    <row r="204">
      <c r="A204" t="str">
        <v>FONDO DE EMPLEADOS DE HELITAXI "FELITAXI"</v>
      </c>
      <c r="B204">
        <v>8000730811</v>
      </c>
      <c r="C204">
        <v>800073081</v>
      </c>
      <c r="D204">
        <v>1</v>
      </c>
    </row>
    <row r="205">
      <c r="A205" t="str">
        <v>FONDO DE EMPLEADOS DE INDUSTRIA NACIONAL</v>
      </c>
      <c r="B205">
        <v>8600777474</v>
      </c>
      <c r="C205">
        <v>860077747</v>
      </c>
      <c r="D205">
        <v>4</v>
      </c>
    </row>
    <row r="206">
      <c r="A206" t="str">
        <v>FONDO DE EMPLEADOS DE INVERSIONES RKC</v>
      </c>
      <c r="B206">
        <v>8605262130</v>
      </c>
      <c r="C206">
        <v>860526213</v>
      </c>
      <c r="D206">
        <v>0</v>
      </c>
    </row>
    <row r="207">
      <c r="A207" t="str">
        <v>FONDO DE EMPLEADOS DE LA REGISTRADURIA NACIONAL DE ESTADO CIVIL</v>
      </c>
      <c r="B207">
        <v>8600749588</v>
      </c>
      <c r="C207">
        <v>860074958</v>
      </c>
      <c r="D207">
        <v>8</v>
      </c>
    </row>
    <row r="208">
      <c r="A208" t="str">
        <v>FONDO DE EMPLEADOS DE LA SOCIEDAD PORTUARIA REGIONAL DE BUENAVENTURA S.A.</v>
      </c>
      <c r="B208">
        <v>8350001158</v>
      </c>
      <c r="C208">
        <v>835000115</v>
      </c>
      <c r="D208">
        <v>8</v>
      </c>
    </row>
    <row r="209">
      <c r="A209" t="str">
        <v>FONDO DE EMPLEADOS DE LABORATORIOS BAXTER</v>
      </c>
      <c r="B209">
        <v>8903072352</v>
      </c>
      <c r="C209">
        <v>890307235</v>
      </c>
      <c r="D209">
        <v>2</v>
      </c>
    </row>
    <row r="210">
      <c r="A210" t="str">
        <v>FONDO DE EMPLEADOS DE NOMINA ( FENOCOM)</v>
      </c>
      <c r="B210">
        <v>8050290268</v>
      </c>
      <c r="C210">
        <v>805029026</v>
      </c>
      <c r="D210">
        <v>8</v>
      </c>
    </row>
    <row r="211">
      <c r="A211" t="str">
        <v>FONDO DE EMPLEADOS DE PELDAR "FONPELDAR"</v>
      </c>
      <c r="B211">
        <v>8600353321</v>
      </c>
      <c r="C211">
        <v>860035332</v>
      </c>
      <c r="D211">
        <v>1</v>
      </c>
    </row>
    <row r="212">
      <c r="A212" t="str">
        <v>FONDO DE EMPLEADOS DE PRINTER COLOMBIANA - FONDEPRINTER</v>
      </c>
      <c r="B212">
        <v>8605316411</v>
      </c>
      <c r="C212">
        <v>860531641</v>
      </c>
      <c r="D212">
        <v>1</v>
      </c>
    </row>
    <row r="213">
      <c r="A213" t="str">
        <v>FONDO DE EMPLEADOS DE PUBLICACIONES SEMANA Y DEMAS MEDIOS DE COMUNICACIÓN (FONEPS)</v>
      </c>
      <c r="B213">
        <v>8300097626</v>
      </c>
      <c r="C213">
        <v>830009762</v>
      </c>
      <c r="D213">
        <v>6</v>
      </c>
    </row>
    <row r="214">
      <c r="A214" t="str">
        <v>FONDO DE EMPLEADOS DE QUALA</v>
      </c>
      <c r="B214">
        <v>8300289616</v>
      </c>
      <c r="C214">
        <v>830028961</v>
      </c>
      <c r="D214">
        <v>6</v>
      </c>
    </row>
    <row r="215">
      <c r="A215" t="str">
        <v>FONDO DE EMPLEADOS DE ROLDAN LOGISTICA FEROLDAN</v>
      </c>
      <c r="B215">
        <v>8000892373</v>
      </c>
      <c r="C215">
        <v>800089237</v>
      </c>
      <c r="D215">
        <v>3</v>
      </c>
    </row>
    <row r="216">
      <c r="A216" t="str">
        <v>FONDO DE EMPLEADOS DE SEGURIDAD DE OCCIDENTE</v>
      </c>
      <c r="B216">
        <v>8050052207</v>
      </c>
      <c r="C216">
        <v>805005220</v>
      </c>
      <c r="D216">
        <v>7</v>
      </c>
    </row>
    <row r="217">
      <c r="A217" t="str">
        <v>FONDO DE EMPLEADOS DE TELMEX HOGAR</v>
      </c>
      <c r="B217">
        <v>8001716272</v>
      </c>
      <c r="C217">
        <v>800171627</v>
      </c>
      <c r="D217">
        <v>2</v>
      </c>
    </row>
    <row r="218">
      <c r="A218" t="str">
        <v>FONDO DE EMPLEADOS DE VIVIENDA Y AHORRO ALPINA LTDA</v>
      </c>
      <c r="B218">
        <v>8600415806</v>
      </c>
      <c r="C218">
        <v>860041580</v>
      </c>
      <c r="D218">
        <v>6</v>
      </c>
    </row>
    <row r="219">
      <c r="A219" t="str">
        <v>FONDO DE EMPLEADOS DEL BBVA COLOMBIA</v>
      </c>
      <c r="B219">
        <v>8600112652</v>
      </c>
      <c r="C219">
        <v>860011265</v>
      </c>
      <c r="D219">
        <v>2</v>
      </c>
    </row>
    <row r="220">
      <c r="A220" t="str">
        <v>FONDO DE EMPLEADOS DEL INSTITUTO COLOMBIANO DE NORMAS TECNICAS ICONTEC</v>
      </c>
      <c r="B220">
        <v>8605341849</v>
      </c>
      <c r="C220">
        <v>860534184</v>
      </c>
      <c r="D220">
        <v>9</v>
      </c>
    </row>
    <row r="221">
      <c r="A221" t="str">
        <v>FONDO DE EMPLEADOS DEL MUNICIPIO DE ENVIGADO</v>
      </c>
      <c r="B221">
        <v>8000028458</v>
      </c>
      <c r="C221">
        <v>800002845</v>
      </c>
      <c r="D221">
        <v>8</v>
      </c>
    </row>
    <row r="222">
      <c r="A222" t="str">
        <v>FONDO DE EMPLEADOS ESTRELLA INTERNATIONAL ENERGY SERVICE</v>
      </c>
      <c r="B222">
        <v>8605294171</v>
      </c>
      <c r="C222">
        <v>860529417</v>
      </c>
      <c r="D222">
        <v>1</v>
      </c>
    </row>
    <row r="223">
      <c r="A223" t="str">
        <v>FONDO DE EMPLEADOS FEISA</v>
      </c>
      <c r="B223">
        <v>8600355596</v>
      </c>
      <c r="C223">
        <v>860035559</v>
      </c>
      <c r="D223">
        <v>6</v>
      </c>
    </row>
    <row r="224">
      <c r="A224" t="str">
        <v>FONDO DE EMPLEADOS FOMEVI</v>
      </c>
      <c r="B224">
        <v>8110060460</v>
      </c>
      <c r="C224">
        <v>811006046</v>
      </c>
      <c r="D224">
        <v>0</v>
      </c>
    </row>
    <row r="225">
      <c r="A225" t="str">
        <v>FONDO DE EMPLEADOS FONALIANZA</v>
      </c>
      <c r="B225">
        <v>9004860365</v>
      </c>
      <c r="C225">
        <v>900486036</v>
      </c>
      <c r="D225">
        <v>5</v>
      </c>
    </row>
    <row r="226">
      <c r="A226" t="str">
        <v>FONDO DE EMPLEADOS FONPQA</v>
      </c>
      <c r="B226">
        <v>9000168301</v>
      </c>
      <c r="C226">
        <v>900016830</v>
      </c>
      <c r="D226">
        <v>1</v>
      </c>
    </row>
    <row r="227">
      <c r="A227" t="str">
        <v>FONDO DE EMPLEADOS PRODECA LTDA</v>
      </c>
      <c r="B227">
        <v>8150003889</v>
      </c>
      <c r="C227">
        <v>815000388</v>
      </c>
      <c r="D227">
        <v>9</v>
      </c>
    </row>
    <row r="228">
      <c r="A228" t="str">
        <v>FONDO DE EMPLEADOS PROTECCION S.A.</v>
      </c>
      <c r="B228">
        <v>8110266161</v>
      </c>
      <c r="C228">
        <v>811026616</v>
      </c>
      <c r="D228">
        <v>1</v>
      </c>
    </row>
    <row r="229">
      <c r="A229" t="str">
        <v>FONDO DE EMPLEADOS SCHLUMBERGER SURENCO</v>
      </c>
      <c r="B229">
        <v>8002302090</v>
      </c>
      <c r="C229">
        <v>800230209</v>
      </c>
      <c r="D229">
        <v>0</v>
      </c>
    </row>
    <row r="230">
      <c r="A230" t="str">
        <v>FONDO DE EMPLEADOS SOCODA S.A.</v>
      </c>
      <c r="B230">
        <v>8110132021</v>
      </c>
      <c r="C230">
        <v>811013202</v>
      </c>
      <c r="D230">
        <v>1</v>
      </c>
    </row>
    <row r="231">
      <c r="A231" t="str">
        <v>FONDO DE EMPLEADOS SODIMAC COLOMBIA</v>
      </c>
      <c r="B231">
        <v>8300441324</v>
      </c>
      <c r="C231">
        <v>830044132</v>
      </c>
      <c r="D231">
        <v>4</v>
      </c>
    </row>
    <row r="232">
      <c r="A232" t="str">
        <v>FONDO MUTUO DE INVERSIÓN FONBYH</v>
      </c>
      <c r="B232">
        <v>8001400944</v>
      </c>
      <c r="C232">
        <v>800140094</v>
      </c>
      <c r="D232">
        <v>4</v>
      </c>
    </row>
    <row r="233">
      <c r="A233" t="str">
        <v>FONDO MUTUO DE INVERSION INVERTIR GENERAL MOTORS</v>
      </c>
      <c r="B233">
        <v>8600023043</v>
      </c>
      <c r="C233">
        <v>860002304</v>
      </c>
      <c r="D233">
        <v>3</v>
      </c>
    </row>
    <row r="234">
      <c r="A234" t="str">
        <v>FONDO NACIONAL DE GARANTIAS</v>
      </c>
      <c r="B234">
        <v>8604022722</v>
      </c>
      <c r="C234">
        <v>860402272</v>
      </c>
      <c r="D234">
        <v>2</v>
      </c>
    </row>
    <row r="235">
      <c r="A235" t="str">
        <v>FONDO REGIONAL DE GARANTIAS S.A. CONFE</v>
      </c>
      <c r="B235">
        <v>8050073426</v>
      </c>
      <c r="C235">
        <v>805007342</v>
      </c>
      <c r="D235">
        <v>6</v>
      </c>
    </row>
    <row r="236">
      <c r="A236" t="str">
        <v>FONDO SECREDITOS</v>
      </c>
      <c r="B236">
        <v>8600073379</v>
      </c>
      <c r="C236">
        <v>860007337</v>
      </c>
      <c r="D236">
        <v>9</v>
      </c>
    </row>
    <row r="237">
      <c r="A237" t="str">
        <v>FONDOAVAYA</v>
      </c>
      <c r="B237">
        <v>8300182085</v>
      </c>
      <c r="C237">
        <v>830018208</v>
      </c>
      <c r="D237">
        <v>5</v>
      </c>
    </row>
    <row r="238">
      <c r="A238" t="str">
        <v>FONESPUMAS</v>
      </c>
      <c r="B238">
        <v>8001602006</v>
      </c>
      <c r="C238">
        <v>800160200</v>
      </c>
      <c r="D238">
        <v>6</v>
      </c>
    </row>
    <row r="239">
      <c r="A239" t="str">
        <v>FUNDACION FES S.A.</v>
      </c>
      <c r="B239">
        <v>8903036665</v>
      </c>
      <c r="C239">
        <v>890303666</v>
      </c>
      <c r="D239">
        <v>5</v>
      </c>
    </row>
    <row r="240">
      <c r="A240" t="str">
        <v>FUNDACION POSITIVOS POR LA VIDA</v>
      </c>
      <c r="B240">
        <v>8001851638</v>
      </c>
      <c r="C240">
        <v>800185163</v>
      </c>
      <c r="D240">
        <v>8</v>
      </c>
    </row>
    <row r="241">
      <c r="A241" t="str">
        <v>FUTUMOTOS S.A.S.</v>
      </c>
      <c r="B241">
        <v>9004342369</v>
      </c>
      <c r="C241">
        <v>900434236</v>
      </c>
      <c r="D241">
        <v>9</v>
      </c>
    </row>
    <row r="242">
      <c r="A242" t="str">
        <v>GIRALDO EQUIPOS G.V. S.A.S.</v>
      </c>
      <c r="B242">
        <v>9007328610</v>
      </c>
      <c r="C242">
        <v>900732861</v>
      </c>
      <c r="D242">
        <v>0</v>
      </c>
    </row>
    <row r="243">
      <c r="A243" t="str">
        <v>GIRASOL CAPITAL</v>
      </c>
      <c r="B243">
        <v>9001918972</v>
      </c>
      <c r="C243">
        <v>900191897</v>
      </c>
      <c r="D243">
        <v>2</v>
      </c>
    </row>
    <row r="244">
      <c r="A244" t="str">
        <v>GIROS &amp; FINANZAS COMPAÑÍA DE FINANCIAMIENTO S.A.</v>
      </c>
      <c r="B244">
        <v>8600067979</v>
      </c>
      <c r="C244">
        <v>860006797</v>
      </c>
      <c r="D244">
        <v>9</v>
      </c>
    </row>
    <row r="245">
      <c r="A245" t="str">
        <v>GLOBAL DE COLOMBIA S.A.S.</v>
      </c>
      <c r="B245">
        <v>8130015266</v>
      </c>
      <c r="C245">
        <v>813001526</v>
      </c>
      <c r="D245">
        <v>6</v>
      </c>
    </row>
    <row r="246">
      <c r="A246" t="str">
        <v>GMAC FINANCIERA DE COLOMBIA S.A.</v>
      </c>
      <c r="B246">
        <v>8600293968</v>
      </c>
      <c r="C246">
        <v>860029396</v>
      </c>
      <c r="D246">
        <v>8</v>
      </c>
    </row>
    <row r="247">
      <c r="A247" t="str">
        <v>GOMEZ COMBUSTIBLES S.A.S.</v>
      </c>
      <c r="B247">
        <v>9007047749</v>
      </c>
      <c r="C247">
        <v>900704774</v>
      </c>
      <c r="D247">
        <v>9</v>
      </c>
    </row>
    <row r="248">
      <c r="A248" t="str">
        <v>GRUPO GDG S.A.S.</v>
      </c>
      <c r="B248">
        <v>9005133294</v>
      </c>
      <c r="C248">
        <v>900513329</v>
      </c>
      <c r="D248">
        <v>4</v>
      </c>
    </row>
    <row r="249">
      <c r="A249" t="str">
        <v>GRUPO MULTIPROYECTOS DE COLOMBIA S.A.S.</v>
      </c>
      <c r="B249">
        <v>9004792054</v>
      </c>
      <c r="C249">
        <v>900479205</v>
      </c>
      <c r="D249">
        <v>4</v>
      </c>
    </row>
    <row r="250">
      <c r="A250" t="str">
        <v>GT AUTOS SAS</v>
      </c>
      <c r="B250">
        <v>9008290043</v>
      </c>
      <c r="C250">
        <v>900829004</v>
      </c>
      <c r="D250">
        <v>3</v>
      </c>
    </row>
    <row r="251">
      <c r="A251" t="str">
        <v>H P H INVERSIONES S.A.S.</v>
      </c>
      <c r="B251">
        <v>8070091268</v>
      </c>
      <c r="C251">
        <v>807009126</v>
      </c>
      <c r="D251">
        <v>8</v>
      </c>
    </row>
    <row r="252">
      <c r="A252" t="str">
        <v>HOGAR Y MODA S.A.S.</v>
      </c>
      <c r="B252">
        <v>9002551814</v>
      </c>
      <c r="C252">
        <v>900255181</v>
      </c>
      <c r="D252">
        <v>4</v>
      </c>
    </row>
    <row r="253">
      <c r="A253" t="str">
        <v>HYUNDAI CREDITOS S.A.S.</v>
      </c>
      <c r="B253">
        <v>8001735574</v>
      </c>
      <c r="C253">
        <v>800173557</v>
      </c>
      <c r="D253">
        <v>4</v>
      </c>
    </row>
    <row r="254">
      <c r="A254" t="str">
        <v>IDEAR NEGOCIOS S.A.S.</v>
      </c>
      <c r="B254">
        <v>9006543955</v>
      </c>
      <c r="C254">
        <v>900654395</v>
      </c>
      <c r="D254">
        <v>5</v>
      </c>
    </row>
    <row r="255">
      <c r="A255" t="str">
        <v>INTERCOLOMBIA S.A.</v>
      </c>
      <c r="B255">
        <v>9006675901</v>
      </c>
      <c r="C255">
        <v>900667590</v>
      </c>
      <c r="D255">
        <v>1</v>
      </c>
    </row>
    <row r="256">
      <c r="A256" t="str">
        <v>INVERCREDITO</v>
      </c>
      <c r="B256">
        <v>8600091934</v>
      </c>
      <c r="C256">
        <v>860009193</v>
      </c>
      <c r="D256">
        <v>4</v>
      </c>
    </row>
    <row r="257">
      <c r="A257" t="str">
        <v>INVERGRUPO S.A.</v>
      </c>
      <c r="B257">
        <v>8050191682</v>
      </c>
      <c r="C257">
        <v>805019168</v>
      </c>
      <c r="D257">
        <v>2</v>
      </c>
    </row>
    <row r="258">
      <c r="A258" t="str">
        <v>INVERSIONES C.B.S S.A.S.</v>
      </c>
      <c r="B258">
        <v>8190052516</v>
      </c>
      <c r="C258">
        <v>819005251</v>
      </c>
      <c r="D258">
        <v>6</v>
      </c>
    </row>
    <row r="259">
      <c r="A259" t="str">
        <v>INVERSIONES CASARIEGO S.A.S.</v>
      </c>
      <c r="B259">
        <v>9003452201</v>
      </c>
      <c r="C259">
        <v>900345220</v>
      </c>
      <c r="D259">
        <v>1</v>
      </c>
    </row>
    <row r="260">
      <c r="A260" t="str">
        <v>INVERSIONES FINANZAS Y SERVICIOS DE COLOMBIA S.A.S.</v>
      </c>
      <c r="B260">
        <v>9007829669</v>
      </c>
      <c r="C260">
        <v>900782966</v>
      </c>
      <c r="D260">
        <v>9</v>
      </c>
    </row>
    <row r="261">
      <c r="A261" t="str">
        <v>INVERSIONES JALBOR S.A.S</v>
      </c>
      <c r="B261">
        <v>8110432146</v>
      </c>
      <c r="C261">
        <v>811043214</v>
      </c>
      <c r="D261">
        <v>6</v>
      </c>
    </row>
    <row r="262">
      <c r="A262" t="str">
        <v>INVERSIONES JZ AUTOS S.A.S.</v>
      </c>
      <c r="B262">
        <v>9006010161</v>
      </c>
      <c r="C262">
        <v>900601016</v>
      </c>
      <c r="D262">
        <v>1</v>
      </c>
    </row>
    <row r="263">
      <c r="A263" t="str">
        <v>INVERSIONES LUJO S.A.</v>
      </c>
      <c r="B263">
        <v>9000278728</v>
      </c>
      <c r="C263">
        <v>900027872</v>
      </c>
      <c r="D263">
        <v>8</v>
      </c>
    </row>
    <row r="264">
      <c r="A264" t="str">
        <v>INVERSIONES ROMERO PLATA S.A.</v>
      </c>
      <c r="B264">
        <v>8305038543</v>
      </c>
      <c r="C264">
        <v>830503854</v>
      </c>
      <c r="D264">
        <v>3</v>
      </c>
    </row>
    <row r="265">
      <c r="A265" t="str">
        <v>INVERSIONES Y TRANSACCIONES FACTORING S.A.S.</v>
      </c>
      <c r="B265">
        <v>9003031573</v>
      </c>
      <c r="C265">
        <v>900303157</v>
      </c>
      <c r="D265">
        <v>3</v>
      </c>
    </row>
    <row r="266">
      <c r="A266" t="str">
        <v>INVERSORA PALACIOS S EN C</v>
      </c>
      <c r="B266">
        <v>8050265960</v>
      </c>
      <c r="C266">
        <v>805026596</v>
      </c>
      <c r="D266">
        <v>0</v>
      </c>
    </row>
    <row r="267">
      <c r="A267" t="str">
        <v>INVERZA LTDA</v>
      </c>
      <c r="B267">
        <v>8190008931</v>
      </c>
      <c r="C267">
        <v>819000893</v>
      </c>
      <c r="D267">
        <v>1</v>
      </c>
    </row>
    <row r="268">
      <c r="A268" t="str">
        <v>ISA INTERCONEXION ELECTRICA S.A.</v>
      </c>
      <c r="B268">
        <v>8600166103</v>
      </c>
      <c r="C268">
        <v>860016610</v>
      </c>
      <c r="D268">
        <v>3</v>
      </c>
    </row>
    <row r="269">
      <c r="A269" t="str">
        <v>JANNA MOTORS S.A.</v>
      </c>
      <c r="B269">
        <v>8020008495</v>
      </c>
      <c r="C269">
        <v>802000849</v>
      </c>
      <c r="D269">
        <v>5</v>
      </c>
    </row>
    <row r="270">
      <c r="A270" t="str">
        <v>LABORATORIOS BAXTER S.A.</v>
      </c>
      <c r="B270">
        <v>8903002920</v>
      </c>
      <c r="C270">
        <v>890300292</v>
      </c>
      <c r="D270">
        <v>0</v>
      </c>
    </row>
    <row r="271">
      <c r="A271" t="str">
        <v>LEASING ALIADAS</v>
      </c>
      <c r="B271">
        <v>8000154412</v>
      </c>
      <c r="C271">
        <v>800015441</v>
      </c>
      <c r="D271">
        <v>2</v>
      </c>
    </row>
    <row r="272">
      <c r="A272" t="str">
        <v>LEASING BANCOLDEX S.A.</v>
      </c>
      <c r="B272">
        <v>8002253899</v>
      </c>
      <c r="C272">
        <v>800225389</v>
      </c>
      <c r="D272">
        <v>9</v>
      </c>
    </row>
    <row r="273">
      <c r="A273" t="str">
        <v>LEASING BOGOTA</v>
      </c>
      <c r="B273">
        <v>8605009966</v>
      </c>
      <c r="C273">
        <v>860500996</v>
      </c>
      <c r="D273">
        <v>6</v>
      </c>
    </row>
    <row r="274">
      <c r="A274" t="str">
        <v>LEASING BOLIVAR S.A.</v>
      </c>
      <c r="B274">
        <v>8600672037</v>
      </c>
      <c r="C274">
        <v>860067203</v>
      </c>
      <c r="D274">
        <v>7</v>
      </c>
    </row>
    <row r="275">
      <c r="A275" t="str">
        <v>LEASING BOYACA S.A.</v>
      </c>
      <c r="B275">
        <v>8000348122</v>
      </c>
      <c r="C275">
        <v>800034812</v>
      </c>
      <c r="D275">
        <v>2</v>
      </c>
    </row>
    <row r="276">
      <c r="A276" t="str">
        <v>LEASING COLMENA</v>
      </c>
      <c r="B276">
        <v>8604015106</v>
      </c>
      <c r="C276">
        <v>860401510</v>
      </c>
      <c r="D276">
        <v>6</v>
      </c>
    </row>
    <row r="277">
      <c r="A277" t="str">
        <v>LEASING COLVALORES</v>
      </c>
      <c r="B277">
        <v>8000378008</v>
      </c>
      <c r="C277">
        <v>800037800</v>
      </c>
      <c r="D277">
        <v>8</v>
      </c>
    </row>
    <row r="278">
      <c r="A278" t="str">
        <v>LEASING CORFICOLOMBIANA S.A. C.F.C.</v>
      </c>
      <c r="B278">
        <v>8000247028</v>
      </c>
      <c r="C278">
        <v>800024702</v>
      </c>
      <c r="D278">
        <v>8</v>
      </c>
    </row>
    <row r="279">
      <c r="A279" t="str">
        <v>LEASING DE CREDITO S.A. C.F.C.</v>
      </c>
      <c r="B279">
        <v>8000513345</v>
      </c>
      <c r="C279">
        <v>800051334</v>
      </c>
      <c r="D279">
        <v>5</v>
      </c>
    </row>
    <row r="280">
      <c r="A280" t="str">
        <v>LEASING DE OCCIDENTE S.A. C.F.C.</v>
      </c>
      <c r="B280">
        <v>8605033701</v>
      </c>
      <c r="C280">
        <v>860503370</v>
      </c>
      <c r="D280">
        <v>1</v>
      </c>
    </row>
    <row r="281">
      <c r="A281" t="str">
        <v>LEASING DEL PACIFICO</v>
      </c>
      <c r="B281">
        <v>8000219889</v>
      </c>
      <c r="C281">
        <v>800021988</v>
      </c>
      <c r="D281">
        <v>9</v>
      </c>
    </row>
    <row r="282">
      <c r="A282" t="str">
        <v>LEASING POPULAR C.F.C. S.A.</v>
      </c>
      <c r="B282">
        <v>8001836701</v>
      </c>
      <c r="C282">
        <v>800183670</v>
      </c>
      <c r="D282">
        <v>1</v>
      </c>
    </row>
    <row r="283">
      <c r="A283" t="str">
        <v>LEASING PROGRESO</v>
      </c>
      <c r="B283">
        <v>8600723311</v>
      </c>
      <c r="C283">
        <v>860072331</v>
      </c>
      <c r="D283">
        <v>1</v>
      </c>
    </row>
    <row r="284">
      <c r="A284" t="str">
        <v>MAF COLOMBIA S.A.S.</v>
      </c>
      <c r="B284">
        <v>9008397029</v>
      </c>
      <c r="C284">
        <v>900839702</v>
      </c>
      <c r="D284">
        <v>9</v>
      </c>
    </row>
    <row r="285">
      <c r="A285" t="str">
        <v>MARKETEXT AMERICA SOCIEDAD POR ACCIONES SIMPIFICADA</v>
      </c>
      <c r="B285">
        <v>9003239234</v>
      </c>
      <c r="C285">
        <v>900323923</v>
      </c>
      <c r="D285">
        <v>4</v>
      </c>
    </row>
    <row r="286">
      <c r="A286" t="str">
        <v>MARUN MEYER PEDRO ALEJANDRO MEYER MOTOS</v>
      </c>
      <c r="B286">
        <v>1923744699</v>
      </c>
      <c r="C286">
        <v>192374469</v>
      </c>
      <c r="D286">
        <v>9</v>
      </c>
    </row>
    <row r="287">
      <c r="A287" t="str">
        <v>MATRIX CREDITOS S.A.S.</v>
      </c>
      <c r="B287">
        <v>9004612578</v>
      </c>
      <c r="C287">
        <v>900461257</v>
      </c>
      <c r="D287">
        <v>8</v>
      </c>
    </row>
    <row r="288">
      <c r="A288" t="str">
        <v>MAYORAUTOS S.A.S.</v>
      </c>
      <c r="B288">
        <v>8040045536</v>
      </c>
      <c r="C288">
        <v>804004553</v>
      </c>
      <c r="D288">
        <v>6</v>
      </c>
    </row>
    <row r="289">
      <c r="A289" t="str">
        <v>MAZDACREDITO</v>
      </c>
      <c r="B289">
        <v>8600450573</v>
      </c>
      <c r="C289">
        <v>860045057</v>
      </c>
      <c r="D289">
        <v>3</v>
      </c>
    </row>
    <row r="290">
      <c r="A290" t="str">
        <v>MEFIA S.A.S.</v>
      </c>
      <c r="B290">
        <v>9006940650</v>
      </c>
      <c r="C290">
        <v>900694065</v>
      </c>
      <c r="D290">
        <v>0</v>
      </c>
    </row>
    <row r="291">
      <c r="A291" t="str">
        <v>MEGABANCO</v>
      </c>
      <c r="B291">
        <v>8600349215</v>
      </c>
      <c r="C291">
        <v>860034921</v>
      </c>
      <c r="D291">
        <v>5</v>
      </c>
    </row>
    <row r="292">
      <c r="A292" t="str">
        <v>MEGAMOTO S.A.S.</v>
      </c>
      <c r="B292">
        <v>9006242619</v>
      </c>
      <c r="C292">
        <v>900624261</v>
      </c>
      <c r="D292">
        <v>9</v>
      </c>
    </row>
    <row r="293">
      <c r="A293" t="str">
        <v>MOTO ANTIOQUIA S.A.S.</v>
      </c>
      <c r="B293">
        <v>8110243340</v>
      </c>
      <c r="C293">
        <v>811024334</v>
      </c>
      <c r="D293">
        <v>0</v>
      </c>
    </row>
    <row r="294">
      <c r="A294" t="str">
        <v>MOTO COMPLEX S.A.S.</v>
      </c>
      <c r="B294">
        <v>9005230001</v>
      </c>
      <c r="C294">
        <v>900523000</v>
      </c>
      <c r="D294">
        <v>1</v>
      </c>
    </row>
    <row r="295">
      <c r="A295" t="str">
        <v>MOTO SPORT LA MESA S.A.S.</v>
      </c>
      <c r="B295">
        <v>9005813896</v>
      </c>
      <c r="C295">
        <v>900581389</v>
      </c>
      <c r="D295">
        <v>6</v>
      </c>
    </row>
    <row r="296">
      <c r="A296" t="str">
        <v>MOTOS DEL DARIEN S.A.</v>
      </c>
      <c r="B296">
        <v>8909003171</v>
      </c>
      <c r="C296">
        <v>890900317</v>
      </c>
      <c r="D296">
        <v>1</v>
      </c>
    </row>
    <row r="297">
      <c r="A297" t="str">
        <v>MOTOSPORST S.A.S.</v>
      </c>
      <c r="B297">
        <v>9010662173</v>
      </c>
      <c r="C297">
        <v>901066217</v>
      </c>
      <c r="D297">
        <v>3</v>
      </c>
    </row>
    <row r="298">
      <c r="A298" t="str">
        <v>MOVIAVAL S.A.S.</v>
      </c>
      <c r="B298">
        <v>9007665533</v>
      </c>
      <c r="C298">
        <v>900766553</v>
      </c>
      <c r="D298">
        <v>3</v>
      </c>
    </row>
    <row r="299">
      <c r="A299" t="str">
        <v>MULTIELECTRO S.A.S.</v>
      </c>
      <c r="B299">
        <v>8909361692</v>
      </c>
      <c r="C299">
        <v>890936169</v>
      </c>
      <c r="D299">
        <v>2</v>
      </c>
    </row>
    <row r="300">
      <c r="A300" t="str">
        <v>MULTIFINANCIARA</v>
      </c>
      <c r="B300">
        <v>8600244141</v>
      </c>
      <c r="C300">
        <v>860024414</v>
      </c>
      <c r="D300">
        <v>1</v>
      </c>
    </row>
    <row r="301">
      <c r="A301" t="str">
        <v>MUNDO CROSS BOGOTA S.A.S.</v>
      </c>
      <c r="B301">
        <v>9005767147</v>
      </c>
      <c r="C301">
        <v>900576714</v>
      </c>
      <c r="D301">
        <v>7</v>
      </c>
    </row>
    <row r="302">
      <c r="A302" t="str">
        <v>MUNDO YAMAHA S.A.</v>
      </c>
      <c r="B302">
        <v>8110032596</v>
      </c>
      <c r="C302">
        <v>811003259</v>
      </c>
      <c r="D302">
        <v>6</v>
      </c>
    </row>
    <row r="303">
      <c r="A303" t="str">
        <v>NEGOCIOS 4 R S.A.S.</v>
      </c>
      <c r="B303">
        <v>9005280731</v>
      </c>
      <c r="C303">
        <v>900528073</v>
      </c>
      <c r="D303">
        <v>1</v>
      </c>
    </row>
    <row r="304">
      <c r="A304" t="str">
        <v>NESTLE DE COLOMBIA S.A.</v>
      </c>
      <c r="B304">
        <v>8600021309</v>
      </c>
      <c r="C304">
        <v>860002130</v>
      </c>
      <c r="D304">
        <v>9</v>
      </c>
    </row>
    <row r="305">
      <c r="A305" t="str">
        <v>NOMBRE: AVICOLA COLOMBIANA S.A. AVICOL</v>
      </c>
      <c r="B305">
        <v>8909001357</v>
      </c>
      <c r="C305">
        <v>890900135</v>
      </c>
      <c r="D305">
        <v>7</v>
      </c>
    </row>
    <row r="306">
      <c r="A306" t="str">
        <v>OPPORTUNITY INTERNATIONAL COLOMBIA S.A CIA DE FINACIAMIENTO</v>
      </c>
      <c r="B306">
        <v>9005157597</v>
      </c>
      <c r="C306">
        <v>900515759</v>
      </c>
      <c r="D306">
        <v>7</v>
      </c>
    </row>
    <row r="307">
      <c r="A307" t="str">
        <v>PATRIMONIO AUTONOMO FC PROCOM S.A.</v>
      </c>
      <c r="B307">
        <v>8300539944</v>
      </c>
      <c r="C307">
        <v>830053994</v>
      </c>
      <c r="D307">
        <v>4</v>
      </c>
    </row>
    <row r="308">
      <c r="A308" t="str">
        <v>PLAN ROMBO S.A.</v>
      </c>
      <c r="B308">
        <v>9003372403</v>
      </c>
      <c r="C308">
        <v>900337240</v>
      </c>
      <c r="D308">
        <v>3</v>
      </c>
    </row>
    <row r="309">
      <c r="A309" t="str">
        <v>PLANAUTOS S.A.</v>
      </c>
      <c r="B309">
        <v>8909240764</v>
      </c>
      <c r="C309">
        <v>890924076</v>
      </c>
      <c r="D309">
        <v>4</v>
      </c>
    </row>
    <row r="310">
      <c r="A310" t="str">
        <v>POWER MOTORS YAMAHA S.A.S.</v>
      </c>
      <c r="B310">
        <v>9000189677</v>
      </c>
      <c r="C310">
        <v>900018967</v>
      </c>
      <c r="D310">
        <v>7</v>
      </c>
    </row>
    <row r="311">
      <c r="A311" t="str">
        <v>PRODUCTOS ALIMENTICIOS BARY S.A.</v>
      </c>
      <c r="B311">
        <v>8000908905</v>
      </c>
      <c r="C311">
        <v>800090890</v>
      </c>
      <c r="D311">
        <v>5</v>
      </c>
    </row>
    <row r="312">
      <c r="A312" t="str">
        <v>PROGRESSA ENTIDAD COOPERATIVA DE AHORRO Y CRÉDITO</v>
      </c>
      <c r="B312">
        <v>8300339078</v>
      </c>
      <c r="C312">
        <v>830033907</v>
      </c>
      <c r="D312">
        <v>8</v>
      </c>
    </row>
    <row r="313">
      <c r="A313" t="str">
        <v>PROMEDICO</v>
      </c>
      <c r="B313">
        <v>8903104184</v>
      </c>
      <c r="C313">
        <v>890310418</v>
      </c>
      <c r="D313">
        <v>4</v>
      </c>
    </row>
    <row r="314">
      <c r="A314" t="str">
        <v>PROMOSUMMA S.A.S.</v>
      </c>
      <c r="B314">
        <v>9004758657</v>
      </c>
      <c r="C314">
        <v>900475865</v>
      </c>
      <c r="D314">
        <v>7</v>
      </c>
    </row>
    <row r="315">
      <c r="A315" t="str">
        <v>PROYECTAR FUTURO V&amp;M. S.A.S.</v>
      </c>
      <c r="B315">
        <v>9005157834</v>
      </c>
      <c r="C315">
        <v>900515783</v>
      </c>
      <c r="D315">
        <v>4</v>
      </c>
    </row>
    <row r="316">
      <c r="A316" t="str">
        <v>R T S COLOMBIA LTDA</v>
      </c>
      <c r="B316">
        <v>8050048351</v>
      </c>
      <c r="C316">
        <v>805004835</v>
      </c>
      <c r="D316">
        <v>1</v>
      </c>
    </row>
    <row r="317">
      <c r="A317" t="str">
        <v>RAPIPAGOS S.A.S.</v>
      </c>
      <c r="B317">
        <v>8110329811</v>
      </c>
      <c r="C317">
        <v>811032981</v>
      </c>
      <c r="D317">
        <v>1</v>
      </c>
    </row>
    <row r="318">
      <c r="A318" t="str">
        <v>RCI COLOMBIAS.A. COMPAÑÍA DE FINANCIAMIENTO</v>
      </c>
      <c r="B318">
        <v>9009776291</v>
      </c>
      <c r="C318">
        <v>900977629</v>
      </c>
      <c r="D318">
        <v>1</v>
      </c>
    </row>
    <row r="319">
      <c r="A319" t="str">
        <v>REDMOTOS DE COLOMBIA S.A.S.</v>
      </c>
      <c r="B319">
        <v>9005630022</v>
      </c>
      <c r="C319">
        <v>900563002</v>
      </c>
      <c r="D319">
        <v>2</v>
      </c>
    </row>
    <row r="320">
      <c r="A320" t="str">
        <v>REPONER S.A.</v>
      </c>
      <c r="B320">
        <v>8050166776</v>
      </c>
      <c r="C320">
        <v>805016677</v>
      </c>
      <c r="D320">
        <v>6</v>
      </c>
    </row>
    <row r="321">
      <c r="A321" t="str">
        <v>RESPALDO FINANCIERO S.A.S.</v>
      </c>
      <c r="B321">
        <v>9007755517</v>
      </c>
      <c r="C321">
        <v>900775551</v>
      </c>
      <c r="D321">
        <v>7</v>
      </c>
    </row>
    <row r="322">
      <c r="A322" t="str">
        <v>RTS S.A.S.</v>
      </c>
      <c r="B322">
        <v>80501126200</v>
      </c>
      <c r="C322">
        <v>8050112620</v>
      </c>
      <c r="D322">
        <v>0</v>
      </c>
    </row>
    <row r="323">
      <c r="A323" t="str">
        <v>SALFAL S.A.S.</v>
      </c>
      <c r="B323">
        <v>9006081803</v>
      </c>
      <c r="C323">
        <v>900608180</v>
      </c>
      <c r="D323">
        <v>3</v>
      </c>
    </row>
    <row r="324">
      <c r="A324" t="str">
        <v>SANIN ALIANZA SEGUROS LTDA</v>
      </c>
      <c r="B324">
        <v>8110462401</v>
      </c>
      <c r="C324">
        <v>811046240</v>
      </c>
      <c r="D324">
        <v>1</v>
      </c>
    </row>
    <row r="325">
      <c r="A325" t="str">
        <v>SANTA CRUZ DISTRIBUCIONES S.A.S.</v>
      </c>
      <c r="B325">
        <v>9004802128</v>
      </c>
      <c r="C325">
        <v>900480212</v>
      </c>
      <c r="D325">
        <v>8</v>
      </c>
    </row>
    <row r="326">
      <c r="A326" t="str">
        <v>SBS SEGUROS COLOMBIA</v>
      </c>
      <c r="B326">
        <v>8600377079</v>
      </c>
      <c r="C326">
        <v>860037707</v>
      </c>
      <c r="D326">
        <v>9</v>
      </c>
    </row>
    <row r="327">
      <c r="A327" t="str">
        <v>SERFINANSA C.F</v>
      </c>
      <c r="B327">
        <v>8600431866</v>
      </c>
      <c r="C327">
        <v>860043186</v>
      </c>
      <c r="D327">
        <v>6</v>
      </c>
    </row>
    <row r="328">
      <c r="A328" t="str">
        <v>SERVICREDITO</v>
      </c>
      <c r="B328">
        <v>8001349398</v>
      </c>
      <c r="C328">
        <v>800134939</v>
      </c>
      <c r="D328">
        <v>8</v>
      </c>
    </row>
    <row r="329">
      <c r="A329" t="str">
        <v>SERVITRANSINDUSTRIALES S.A.S.</v>
      </c>
      <c r="B329">
        <v>9003820834</v>
      </c>
      <c r="C329">
        <v>900382083</v>
      </c>
      <c r="D329">
        <v>4</v>
      </c>
    </row>
    <row r="330">
      <c r="A330" t="str">
        <v>SOCIEDAD COLOMBIANA DE ANESTESIOLOGIA Y REANIMACION SCARE</v>
      </c>
      <c r="B330">
        <v>8600200821</v>
      </c>
      <c r="C330">
        <v>860020082</v>
      </c>
      <c r="D330">
        <v>1</v>
      </c>
    </row>
    <row r="331">
      <c r="A331" t="str">
        <v>SOLUCIONES INTEGRALES O.B S.A.S.</v>
      </c>
      <c r="B331">
        <v>9006290654</v>
      </c>
      <c r="C331">
        <v>900629065</v>
      </c>
      <c r="D331">
        <v>4</v>
      </c>
    </row>
    <row r="332">
      <c r="A332" t="str">
        <v>SU MOTO DE COLOMBIA S.A.</v>
      </c>
      <c r="B332">
        <v>9001158614</v>
      </c>
      <c r="C332">
        <v>900115861</v>
      </c>
      <c r="D332">
        <v>4</v>
      </c>
    </row>
    <row r="333">
      <c r="A333" t="str">
        <v>SU MOTO DE IBAGUE S.A.S</v>
      </c>
      <c r="B333">
        <v>9004472981</v>
      </c>
      <c r="C333">
        <v>900447298</v>
      </c>
      <c r="D333">
        <v>1</v>
      </c>
    </row>
    <row r="334">
      <c r="A334" t="str">
        <v>SU MOTO DEL ORIENTE</v>
      </c>
      <c r="B334">
        <v>9001147589</v>
      </c>
      <c r="C334">
        <v>900114758</v>
      </c>
      <c r="D334">
        <v>9</v>
      </c>
    </row>
    <row r="335">
      <c r="A335" t="str">
        <v>SUCESORES DE JOSE JESUS RESTREPO Y CIA S.A.</v>
      </c>
      <c r="B335">
        <v>8908007181</v>
      </c>
      <c r="C335">
        <v>890800718</v>
      </c>
      <c r="D335">
        <v>1</v>
      </c>
    </row>
    <row r="336">
      <c r="A336" t="str">
        <v>SULEASING</v>
      </c>
      <c r="B336">
        <v>8909277052</v>
      </c>
      <c r="C336">
        <v>890927705</v>
      </c>
      <c r="D336">
        <v>2</v>
      </c>
    </row>
    <row r="337">
      <c r="A337" t="str">
        <v>SULICOR S.A.</v>
      </c>
      <c r="B337">
        <v>8300727401</v>
      </c>
      <c r="C337">
        <v>830072740</v>
      </c>
      <c r="D337">
        <v>1</v>
      </c>
    </row>
    <row r="338">
      <c r="A338" t="str">
        <v>SURJAMOS S.A.S.</v>
      </c>
      <c r="B338">
        <v>9003800043</v>
      </c>
      <c r="C338">
        <v>900380004</v>
      </c>
      <c r="D338">
        <v>3</v>
      </c>
    </row>
    <row r="339">
      <c r="A339" t="str">
        <v>SUZUKI MOTOR DE COLOMBIA S.A.</v>
      </c>
      <c r="B339">
        <v>8914101372</v>
      </c>
      <c r="C339">
        <v>891410137</v>
      </c>
      <c r="D339">
        <v>2</v>
      </c>
    </row>
    <row r="340">
      <c r="A340" t="str">
        <v>TEGA ELECTRONICOS S.A.S.</v>
      </c>
      <c r="B340">
        <v>9001415089</v>
      </c>
      <c r="C340">
        <v>900141508</v>
      </c>
      <c r="D340">
        <v>9</v>
      </c>
    </row>
    <row r="341">
      <c r="A341" t="str">
        <v>TODO AUTOS JS S.A.S.</v>
      </c>
      <c r="B341">
        <v>9009857317</v>
      </c>
      <c r="C341">
        <v>900985731</v>
      </c>
      <c r="D341">
        <v>7</v>
      </c>
    </row>
    <row r="342">
      <c r="A342" t="str">
        <v>TORRES GRECCO &amp; CIA S EN C S</v>
      </c>
      <c r="B342">
        <v>9003492381</v>
      </c>
      <c r="C342">
        <v>900349238</v>
      </c>
      <c r="D342">
        <v>1</v>
      </c>
    </row>
    <row r="343">
      <c r="A343" t="str">
        <v>TRANSPORTES AMBROSIO PLATA NAVAS S</v>
      </c>
      <c r="B343">
        <v>8190015236</v>
      </c>
      <c r="C343">
        <v>819001523</v>
      </c>
      <c r="D343">
        <v>6</v>
      </c>
    </row>
    <row r="344">
      <c r="A344" t="str">
        <v>TRANSPORTES DEL HUILA S.A.</v>
      </c>
      <c r="B344">
        <v>8130041471</v>
      </c>
      <c r="C344">
        <v>813004147</v>
      </c>
      <c r="D344">
        <v>1</v>
      </c>
    </row>
    <row r="345">
      <c r="A345" t="str">
        <v>TRANSPORTES E INVERSIONES INTERNACIONAL LTDA</v>
      </c>
      <c r="B345">
        <v>8301124535</v>
      </c>
      <c r="C345">
        <v>830112453</v>
      </c>
      <c r="D345">
        <v>5</v>
      </c>
    </row>
    <row r="346">
      <c r="A346" t="str">
        <v>TUYA S.A.</v>
      </c>
      <c r="B346">
        <v>8600323303</v>
      </c>
      <c r="C346">
        <v>860032330</v>
      </c>
      <c r="D346">
        <v>3</v>
      </c>
    </row>
    <row r="347">
      <c r="A347" t="str">
        <v>UNE EPM TELECOMUNICACIONES S.A.</v>
      </c>
      <c r="B347">
        <v>9000923859</v>
      </c>
      <c r="C347">
        <v>900092385</v>
      </c>
      <c r="D347">
        <v>9</v>
      </c>
    </row>
    <row r="348">
      <c r="A348" t="str">
        <v>UNICOOMAYORCUN</v>
      </c>
      <c r="B348">
        <v>8000758181</v>
      </c>
      <c r="C348">
        <v>800075818</v>
      </c>
      <c r="D348">
        <v>1</v>
      </c>
    </row>
    <row r="349">
      <c r="A349" t="str">
        <v>UNIVERSIDAD DE ANTIOQUIA</v>
      </c>
      <c r="B349">
        <v>8909800408</v>
      </c>
      <c r="C349">
        <v>890980040</v>
      </c>
      <c r="D349">
        <v>8</v>
      </c>
    </row>
    <row r="350">
      <c r="A350" t="str">
        <v>V.P.S LIMITADA</v>
      </c>
      <c r="B350">
        <v>9006933557</v>
      </c>
      <c r="C350">
        <v>900693355</v>
      </c>
      <c r="D350">
        <v>7</v>
      </c>
    </row>
    <row r="351">
      <c r="A351" t="str">
        <v>VALORANDO ORIGINADOR S.A.S.</v>
      </c>
      <c r="B351">
        <v>9010703571</v>
      </c>
      <c r="C351">
        <v>901070357</v>
      </c>
      <c r="D351">
        <v>1</v>
      </c>
    </row>
    <row r="352">
      <c r="A352" t="str">
        <v>VEHIGRUPO S.A.S.</v>
      </c>
      <c r="B352">
        <v>9004851691</v>
      </c>
      <c r="C352">
        <v>900485169</v>
      </c>
      <c r="D352">
        <v>1</v>
      </c>
    </row>
    <row r="353">
      <c r="A353" t="str">
        <v>VEHIPLAN</v>
      </c>
      <c r="B353">
        <v>8001372649</v>
      </c>
      <c r="C353">
        <v>800137264</v>
      </c>
      <c r="D353">
        <v>9</v>
      </c>
    </row>
    <row r="354">
      <c r="A354" t="str">
        <v>VEHYCREDITOS S.A.S.</v>
      </c>
      <c r="B354">
        <v>9007710478</v>
      </c>
      <c r="C354">
        <v>900771047</v>
      </c>
      <c r="D354">
        <v>8</v>
      </c>
    </row>
    <row r="355">
      <c r="A355" t="str">
        <v>VENFI S.A.S.</v>
      </c>
      <c r="B355">
        <v>9007999695</v>
      </c>
      <c r="C355">
        <v>900799969</v>
      </c>
      <c r="D355">
        <v>5</v>
      </c>
    </row>
    <row r="356">
      <c r="A356" t="str">
        <v>VEVA S EN C</v>
      </c>
      <c r="B356">
        <v>9003967936</v>
      </c>
      <c r="C356">
        <v>900396793</v>
      </c>
      <c r="D356">
        <v>6</v>
      </c>
    </row>
    <row r="357">
      <c r="A357" t="str">
        <v>WYETH CONSUMER HEALTHCARE LTDA</v>
      </c>
      <c r="B357">
        <v>8903025845</v>
      </c>
      <c r="C357">
        <v>890302584</v>
      </c>
      <c r="D357">
        <v>5</v>
      </c>
    </row>
    <row r="358">
      <c r="A358" t="str">
        <v>YAMAHA SPORTS LTDA</v>
      </c>
      <c r="B358">
        <v>8110057098</v>
      </c>
      <c r="C358">
        <v>811005709</v>
      </c>
      <c r="D358">
        <v>8</v>
      </c>
    </row>
    <row r="359">
      <c r="A359" t="str">
        <v>YANACONAS MOTOR S.A.</v>
      </c>
      <c r="B359">
        <v>8050307061</v>
      </c>
      <c r="C359">
        <v>805030706</v>
      </c>
      <c r="D359">
        <v>1</v>
      </c>
    </row>
    <row r="360">
      <c r="A360" t="str">
        <v>ZAMBON COLOMBIA S.A.</v>
      </c>
      <c r="B360">
        <v>8600457588</v>
      </c>
      <c r="C360">
        <v>860045758</v>
      </c>
      <c r="D360">
        <v>8</v>
      </c>
    </row>
    <row r="361">
      <c r="A361" t="str">
        <v>ZEIKI S.A.S.</v>
      </c>
      <c r="B361">
        <v>9000187570</v>
      </c>
      <c r="C361">
        <v>900018757</v>
      </c>
      <c r="D361">
        <v>0</v>
      </c>
    </row>
    <row r="362">
      <c r="A362" t="str">
        <v>DAVIbank S.A</v>
      </c>
      <c r="C362">
        <v>860034594</v>
      </c>
      <c r="D362">
        <v>1</v>
      </c>
    </row>
  </sheetData>
  <pageMargins left="0.7" right="0.7" top="0.75" bottom="0.75" header="0" footer="0"/>
  <ignoredErrors>
    <ignoredError numberStoredAsText="1" sqref="A1:D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2"/>
  <sheetViews>
    <sheetView workbookViewId="0" rightToLeft="0"/>
  </sheetViews>
  <sheetData>
    <row r="1">
      <c r="A1" t="str">
        <v>Tipo de documento</v>
      </c>
    </row>
    <row r="2">
      <c r="A2" t="str">
        <v>Seleccione</v>
      </c>
    </row>
    <row r="3">
      <c r="A3" t="str">
        <v>NIT</v>
      </c>
    </row>
    <row r="4">
      <c r="A4" t="str">
        <v>Cédula de ciudadanía</v>
      </c>
    </row>
    <row r="5">
      <c r="A5" t="str">
        <v>Cédula de extranjería</v>
      </c>
    </row>
    <row r="9">
      <c r="A9" t="str">
        <v>Tipo de propiedad</v>
      </c>
    </row>
    <row r="10">
      <c r="A10" t="str">
        <v>Seleccione</v>
      </c>
    </row>
    <row r="11">
      <c r="A11" t="str">
        <v>Apartamento</v>
      </c>
    </row>
    <row r="12">
      <c r="A12" t="str">
        <v>Casa</v>
      </c>
    </row>
  </sheetData>
  <pageMargins left="0.7" right="0.7" top="0.75" bottom="0.75" header="0" footer="0"/>
  <ignoredErrors>
    <ignoredError numberStoredAsText="1" sqref="A1:A100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00"/>
  <sheetViews>
    <sheetView workbookViewId="0" rightToLeft="0"/>
  </sheetViews>
  <sheetData/>
  <pageMargins left="0.7" right="0.7" top="0.75" bottom="0.75" header="0" footer="0"/>
  <ignoredErrors>
    <ignoredError numberStoredAsText="1" sqref="A1:A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endosos financieros</vt:lpstr>
      <vt:lpstr>ENTIDADES FINANCIERAS</vt:lpstr>
      <vt:lpstr>Hoja4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2021-03-04T19:32:46Z</dcterms:created>
  <dcterms:modified xsi:type="dcterms:W3CDTF">2026-05-24T22:57:08Z</dcterms:modified>
  <cp:lastModifiedBy>Licenciamiento - Cuantico Seguros</cp:lastModifiedBy>
  <dc:creator>Marcela Echeverri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0x010100E2A6A35E53F6F5429D08E579A9F301BF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