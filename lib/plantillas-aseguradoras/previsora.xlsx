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metadata.xml" ContentType="application/vnd.openxmlformats-officedocument.spreadsheetml.sheetMetadata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24226"/>
  <sheets>
    <sheet name="FORMATO " sheetId="1" r:id="rId1"/>
    <sheet name="Hoja3" sheetId="2" r:id="rId2"/>
  </sheets>
  <definedNames>
    <definedName name="_xlnm._FilterDatabase" localSheetId="0" hidden="1">'FORMATO '!$A$1:$AG$1</definedName>
  </definedNames>
</workbook>
</file>

<file path=xl/comments1.xml><?xml version="1.0" encoding="utf-8"?>
<comments xmlns="http://schemas.openxmlformats.org/spreadsheetml/2006/main">
  <authors>
    <author>NATALIA MARIA MARIN VELEZ</author>
    <author>tc={54EE7951-7262-4200-6969-000000000000}</author>
  </authors>
  <commentList>
    <comment ref="U1" authorId="1">
      <text>
        <t/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3">
    <numFmt numFmtId="41" formatCode="_-* #,##0_-;\-* #,##0_-;_-* &quot;-&quot;_-;_-@_-"/>
    <numFmt numFmtId="42" formatCode="_-&quot;$&quot;\ * #,##0_-;\-&quot;$&quot;\ * #,##0_-;_-&quot;$&quot;\ * &quot;-&quot;_-;_-@_-"/>
    <numFmt numFmtId="43" formatCode="_-* #,##0.00_-;\-* #,##0.00_-;_-* &quot;-&quot;??_-;_-@_-"/>
    <numFmt numFmtId="44" formatCode="_-&quot;$&quot;\ * #,##0.00_-;\-&quot;$&quot;\ * #,##0.00_-;_-&quot;$&quot;\ * &quot;-&quot;??_-;_-@_-"/>
    <numFmt numFmtId="56" formatCode="&quot;上午/下午 &quot;hh&quot;時&quot;mm&quot;分&quot;ss&quot;秒 &quot;"/>
    <numFmt numFmtId="164" formatCode="_-&quot;$&quot;* #,##0.00_-;\-&quot;$&quot;* #,##0.00_-;_-&quot;$&quot;* &quot;-&quot;??_-;_-@_-"/>
    <numFmt numFmtId="165" formatCode="_-* #,##0_-;\-* #,##0_-;_-* &quot;-&quot;??_-;_-@_-"/>
    <numFmt numFmtId="166" formatCode="_-&quot;$&quot;* #,##0_-;\-&quot;$&quot;* #,##0_-;_-&quot;$&quot;* &quot;-&quot;??_-;_-@_-"/>
    <numFmt numFmtId="167" formatCode="_(&quot;$&quot;\ * #,##0.00_);_(&quot;$&quot;\ * \(#,##0.00\);_(&quot;$&quot;\ * &quot;-&quot;??_);_(@_)"/>
    <numFmt numFmtId="168" formatCode="0.0000%"/>
    <numFmt numFmtId="169" formatCode="0.0%"/>
    <numFmt numFmtId="170" formatCode="_(&quot;$&quot;\ * #,##0_);_(&quot;$&quot;\ * \(#,##0\);_(&quot;$&quot;\ * &quot;-&quot;_);_(@_)"/>
    <numFmt numFmtId="171" formatCode="&quot; &quot;&quot;$&quot;#,##0.00&quot; &quot;;&quot;-&quot;&quot;$&quot;#,##0.00&quot; &quot;;&quot; &quot;&quot;$&quot;&quot;-&quot;00&quot; &quot;;&quot; &quot;@&quot;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Relationship Id="rId6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eetJ5" id="{54EE7950-7262-4200-6969-000000000000}" userId="SheetJ5" providerId="None"/>
  <person displayName="NATALIA MARIA MARIN VELEZ" id="{54EE7950-7262-4200-6969-000000000001}" userId="NATALIA MARIA MARIN VELEZ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1.xml><?xml version="1.0" encoding="utf-8"?>
<ThreadedComments xmlns="http://schemas.microsoft.com/office/spreadsheetml/2018/threadedcomments">
  <threadedComment ref="U1" id="{54EE7951-7262-4200-6969-000000000000}" personId="{54EE7950-7262-4200-6969-000000000001}">
    <text xml:space="preserve">Se debe diligenciar el formato solo hasta esta celda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microsoft.com/office/2017/10/relationships/threadedComment" Target="../threadedComments/threadedComment1.xml"/><Relationship Id="rId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61"/>
  <sheetViews>
    <sheetView workbookViewId="0" rightToLeft="0"/>
  </sheetViews>
  <sheetData>
    <row r="1">
      <c r="A1" t="str">
        <v>Intermediario</v>
      </c>
      <c r="B1" t="str">
        <v>Tipo de endoso (Comercial / Reconstrucción)</v>
      </c>
      <c r="C1" t="str">
        <v>Número de póliza</v>
      </c>
      <c r="D1" t="str">
        <v>Fecha Solicitud Endoso</v>
      </c>
      <c r="E1" t="str">
        <v xml:space="preserve">Fecha Fin de Vigencia </v>
      </c>
      <c r="F1" t="str">
        <v>Nombre de copropiedad</v>
      </c>
      <c r="G1" t="str">
        <v>Nit Copropiedad</v>
      </c>
      <c r="H1" t="str">
        <v xml:space="preserve">Nomenclatura (Ejemplo: Calle 54B # 32 Sur 44) </v>
      </c>
      <c r="I1" t="str">
        <v>Municipio</v>
      </c>
      <c r="J1" t="str">
        <v xml:space="preserve">Número de Torre </v>
      </c>
      <c r="K1" t="str">
        <v>Número de  Apartamento</v>
      </c>
      <c r="L1" t="str">
        <v>Número de  Cuarto Útil</v>
      </c>
      <c r="M1" t="str">
        <v>Número de Parqueadero</v>
      </c>
      <c r="N1" t="str">
        <v xml:space="preserve">Dirección completa del Riesgo (Nomenclatura, # Torre, #Apartamento, #cuarto util, # parqueadero) </v>
      </c>
      <c r="O1" t="str">
        <v>Nombre del propietario(s)</v>
      </c>
      <c r="P1" t="str">
        <v>Cédula(s) o documento de identidad</v>
      </c>
      <c r="Q1" t="str">
        <v>Banco /Entidad solicitante</v>
      </c>
      <c r="R1" t="str">
        <v>Nit</v>
      </c>
      <c r="S1" t="str">
        <v>Coeficiente total (Suma Apto, C. Util y Parqueadero)</v>
      </c>
      <c r="T1" t="str">
        <v>Valor Asegurado (Edificio, Maquinaria, Eq. Elec y Contenido)</v>
      </c>
      <c r="U1" t="str">
        <v>Valor requerido acorde con el tipo de endoso</v>
      </c>
      <c r="V1" t="str">
        <v>Tasa Across</v>
      </c>
      <c r="W1" t="str">
        <v>Valor Reconstrucción</v>
      </c>
      <c r="X1" t="str">
        <v>Diferencia</v>
      </c>
      <c r="Y1" t="str">
        <v>Dias a Cobrar</v>
      </c>
      <c r="Z1" t="str">
        <v>Indice Variable (%)</v>
      </c>
      <c r="AA1" t="str">
        <v xml:space="preserve">Prima Anual  </v>
      </c>
      <c r="AB1" t="str">
        <v>Prima Prorrata</v>
      </c>
      <c r="AC1" t="str">
        <v>Iva</v>
      </c>
      <c r="AD1" t="str">
        <v>Total a Cobrar</v>
      </c>
      <c r="AE1" t="str">
        <v>Indice Variable</v>
      </c>
      <c r="AF1">
        <v>0.05</v>
      </c>
    </row>
    <row r="2">
      <c r="W2">
        <f>+T2*S2</f>
        <v>0</v>
      </c>
      <c r="X2">
        <f>U2-W2</f>
        <v>0</v>
      </c>
      <c r="Y2">
        <f>+F2-E2</f>
        <v>0</v>
      </c>
      <c r="Z2">
        <f>+X2*$AF$1</f>
        <v>0</v>
      </c>
      <c r="AA2">
        <f>+(X2*(V2/1000)+(Z2*(V2/2/1000)))</f>
        <v>0</v>
      </c>
      <c r="AB2">
        <f>+(AA2/365)*Y2</f>
        <v>0</v>
      </c>
      <c r="AC2">
        <f>+AB2*0.19</f>
        <v>0</v>
      </c>
      <c r="AD2">
        <f>+AB2+AC2</f>
        <v>0</v>
      </c>
    </row>
    <row r="3">
      <c r="W3">
        <f>+T3*S3</f>
        <v>0</v>
      </c>
      <c r="X3">
        <f>U3-W3</f>
        <v>0</v>
      </c>
      <c r="Y3">
        <f>+F3-E3</f>
        <v>0</v>
      </c>
      <c r="Z3">
        <f>+X3*$AF$1</f>
        <v>0</v>
      </c>
      <c r="AA3">
        <f>+(X3*(V3/1000)+(Z3*(V3/2/1000)))</f>
        <v>0</v>
      </c>
      <c r="AB3">
        <f>+(AA3/365)*Y3</f>
        <v>0</v>
      </c>
      <c r="AC3">
        <f>+AB3*0.19</f>
        <v>0</v>
      </c>
      <c r="AD3">
        <f>+AB3+AC3</f>
        <v>0</v>
      </c>
    </row>
    <row r="4">
      <c r="W4">
        <f>+T4*S4</f>
        <v>0</v>
      </c>
      <c r="X4">
        <f>U4-W4</f>
        <v>0</v>
      </c>
      <c r="Y4">
        <f>+F4-E4</f>
        <v>0</v>
      </c>
      <c r="Z4">
        <f>+X4*$AF$1</f>
        <v>0</v>
      </c>
      <c r="AA4">
        <f>+(X4*(V4/1000)+(Z4*(V4/2/1000)))</f>
        <v>0</v>
      </c>
      <c r="AB4">
        <f>+(AA4/365)*Y4</f>
        <v>0</v>
      </c>
      <c r="AC4">
        <f>+AB4*0.19</f>
        <v>0</v>
      </c>
      <c r="AD4">
        <f>+AB4+AC4</f>
        <v>0</v>
      </c>
    </row>
    <row r="5">
      <c r="W5">
        <f>+T5*S5</f>
        <v>0</v>
      </c>
      <c r="X5">
        <f>U5-W5</f>
        <v>0</v>
      </c>
      <c r="Y5">
        <f>+F5-E5</f>
        <v>0</v>
      </c>
      <c r="Z5">
        <f>+X5*$AF$1</f>
        <v>0</v>
      </c>
      <c r="AA5">
        <f>+(X5*(V5/1000)+(Z5*(V5/2/1000)))</f>
        <v>0</v>
      </c>
      <c r="AB5">
        <f>+(AA5/365)*Y5</f>
        <v>0</v>
      </c>
      <c r="AC5">
        <f>+AB5*0.19</f>
        <v>0</v>
      </c>
      <c r="AD5">
        <f>+AB5+AC5</f>
        <v>0</v>
      </c>
    </row>
    <row r="6">
      <c r="W6">
        <f>+T6*S6</f>
        <v>0</v>
      </c>
      <c r="X6">
        <f>U6-W6</f>
        <v>0</v>
      </c>
      <c r="Y6">
        <f>+F6-E6</f>
        <v>0</v>
      </c>
      <c r="Z6">
        <f>+X6*$AF$1</f>
        <v>0</v>
      </c>
      <c r="AA6">
        <f>+(X6*(V6/1000)+(Z6*(V6/2/1000)))</f>
        <v>0</v>
      </c>
      <c r="AB6">
        <f>+(AA6/365)*Y6</f>
        <v>0</v>
      </c>
      <c r="AC6">
        <f>+AB6*0.19</f>
        <v>0</v>
      </c>
      <c r="AD6">
        <f>+AB6+AC6</f>
        <v>0</v>
      </c>
    </row>
    <row r="7">
      <c r="W7">
        <f>+T7*S7</f>
        <v>0</v>
      </c>
      <c r="X7">
        <f>U7-W7</f>
        <v>0</v>
      </c>
      <c r="Y7">
        <f>+F7-E7</f>
        <v>0</v>
      </c>
      <c r="Z7">
        <f>+X7*$AF$1</f>
        <v>0</v>
      </c>
      <c r="AA7">
        <f>+(X7*(V7/1000)+(Z7*(V7/2/1000)))</f>
        <v>0</v>
      </c>
      <c r="AB7">
        <f>+(AA7/365)*Y7</f>
        <v>0</v>
      </c>
      <c r="AC7">
        <f>+AB7*0.19</f>
        <v>0</v>
      </c>
      <c r="AD7">
        <f>+AB7+AC7</f>
        <v>0</v>
      </c>
    </row>
    <row r="8">
      <c r="W8">
        <f>+T8*S8</f>
        <v>0</v>
      </c>
      <c r="X8">
        <f>U8-W8</f>
        <v>0</v>
      </c>
      <c r="Y8">
        <f>+F8-E8</f>
        <v>0</v>
      </c>
      <c r="Z8">
        <f>+X8*$AF$1</f>
        <v>0</v>
      </c>
      <c r="AA8">
        <f>+(X8*(V8/1000)+(Z8*(V8/2/1000)))</f>
        <v>0</v>
      </c>
      <c r="AB8">
        <f>+(AA8/365)*Y8</f>
        <v>0</v>
      </c>
      <c r="AC8">
        <f>+AB8*0.19</f>
        <v>0</v>
      </c>
      <c r="AD8">
        <f>+AB8+AC8</f>
        <v>0</v>
      </c>
    </row>
    <row r="9">
      <c r="W9">
        <f>+T9*S9</f>
        <v>0</v>
      </c>
      <c r="X9">
        <f>U9-W9</f>
        <v>0</v>
      </c>
      <c r="Y9">
        <f>+F9-E9</f>
        <v>0</v>
      </c>
      <c r="Z9">
        <f>+X9*$AF$1</f>
        <v>0</v>
      </c>
      <c r="AA9">
        <f>+(X9*(V9/1000)+(Z9*(V9/2/1000)))</f>
        <v>0</v>
      </c>
      <c r="AB9">
        <f>+(AA9/365)*Y9</f>
        <v>0</v>
      </c>
      <c r="AC9">
        <f>+AB9*0.19</f>
        <v>0</v>
      </c>
      <c r="AD9">
        <f>+AB9+AC9</f>
        <v>0</v>
      </c>
    </row>
    <row r="10">
      <c r="W10">
        <f>+T10*S10</f>
        <v>0</v>
      </c>
      <c r="X10">
        <f>U10-W10</f>
        <v>0</v>
      </c>
      <c r="Y10">
        <f>+F10-E10</f>
        <v>0</v>
      </c>
      <c r="Z10">
        <f>+X10*$AF$1</f>
        <v>0</v>
      </c>
      <c r="AA10">
        <f>+(X10*(V10/1000)+(Z10*(V10/2/1000)))</f>
        <v>0</v>
      </c>
      <c r="AB10">
        <f>+(AA10/365)*Y10</f>
        <v>0</v>
      </c>
      <c r="AC10">
        <f>+AB10*0.19</f>
        <v>0</v>
      </c>
      <c r="AD10">
        <f>+AB10+AC10</f>
        <v>0</v>
      </c>
    </row>
    <row r="11">
      <c r="W11">
        <f>+T11*S11</f>
        <v>0</v>
      </c>
      <c r="X11">
        <f>U11-W11</f>
        <v>0</v>
      </c>
      <c r="Y11">
        <f>+F11-E11</f>
        <v>0</v>
      </c>
      <c r="Z11">
        <f>+X11*$AF$1</f>
        <v>0</v>
      </c>
      <c r="AA11">
        <f>+(X11*(V11/1000)+(Z11*(V11/2/1000)))</f>
        <v>0</v>
      </c>
      <c r="AB11">
        <f>+(AA11/365)*Y11</f>
        <v>0</v>
      </c>
      <c r="AC11">
        <f>+AB11*0.19</f>
        <v>0</v>
      </c>
      <c r="AD11">
        <f>+AB11+AC11</f>
        <v>0</v>
      </c>
    </row>
    <row r="12">
      <c r="W12">
        <f>+T12*S12</f>
        <v>0</v>
      </c>
      <c r="X12">
        <f>U12-W12</f>
        <v>0</v>
      </c>
      <c r="Y12">
        <f>+F12-E12</f>
        <v>0</v>
      </c>
      <c r="Z12">
        <f>+X12*$AF$1</f>
        <v>0</v>
      </c>
      <c r="AA12">
        <f>+(X12*(V12/1000)+(Z12*(V12/2/1000)))</f>
        <v>0</v>
      </c>
      <c r="AB12">
        <f>+(AA12/365)*Y12</f>
        <v>0</v>
      </c>
      <c r="AC12">
        <f>+AB12*0.19</f>
        <v>0</v>
      </c>
      <c r="AD12">
        <f>+AB12+AC12</f>
        <v>0</v>
      </c>
    </row>
    <row r="13">
      <c r="W13">
        <f>+T13*S13</f>
        <v>0</v>
      </c>
      <c r="X13">
        <f>U13-W13</f>
        <v>0</v>
      </c>
      <c r="Y13">
        <f>+F13-E13</f>
        <v>0</v>
      </c>
      <c r="Z13">
        <f>+X13*$AF$1</f>
        <v>0</v>
      </c>
      <c r="AA13">
        <f>+(X13*(V13/1000)+(Z13*(V13/2/1000)))</f>
        <v>0</v>
      </c>
      <c r="AB13">
        <f>+(AA13/365)*Y13</f>
        <v>0</v>
      </c>
      <c r="AC13">
        <f>+AB13*0.19</f>
        <v>0</v>
      </c>
      <c r="AD13">
        <f>+AB13+AC13</f>
        <v>0</v>
      </c>
    </row>
    <row r="14">
      <c r="W14">
        <f>+T14*S14</f>
        <v>0</v>
      </c>
      <c r="X14">
        <f>U14-W14</f>
        <v>0</v>
      </c>
      <c r="Y14">
        <f>+F14-E14</f>
        <v>0</v>
      </c>
      <c r="Z14">
        <f>+X14*$AF$1</f>
        <v>0</v>
      </c>
      <c r="AA14">
        <f>+(X14*(V14/1000)+(Z14*(V14/2/1000)))</f>
        <v>0</v>
      </c>
      <c r="AB14">
        <f>+(AA14/365)*Y14</f>
        <v>0</v>
      </c>
      <c r="AC14">
        <f>+AB14*0.19</f>
        <v>0</v>
      </c>
      <c r="AD14">
        <f>+AB14+AC14</f>
        <v>0</v>
      </c>
    </row>
    <row r="15">
      <c r="W15">
        <f>+T15*S15</f>
        <v>0</v>
      </c>
      <c r="X15">
        <f>U15-W15</f>
        <v>0</v>
      </c>
      <c r="Y15">
        <f>+F15-E15</f>
        <v>0</v>
      </c>
      <c r="Z15">
        <f>+X15*$AF$1</f>
        <v>0</v>
      </c>
      <c r="AA15">
        <f>+(X15*(V15/1000)+(Z15*(V15/2/1000)))</f>
        <v>0</v>
      </c>
      <c r="AB15">
        <f>+(AA15/365)*Y15</f>
        <v>0</v>
      </c>
      <c r="AC15">
        <f>+AB15*0.19</f>
        <v>0</v>
      </c>
      <c r="AD15">
        <f>+AB15+AC15</f>
        <v>0</v>
      </c>
    </row>
    <row r="16">
      <c r="W16">
        <f>+T16*S16</f>
        <v>0</v>
      </c>
      <c r="X16">
        <f>U16-W16</f>
        <v>0</v>
      </c>
      <c r="Y16">
        <f>+F16-E16</f>
        <v>0</v>
      </c>
      <c r="Z16">
        <f>+X16*$AF$1</f>
        <v>0</v>
      </c>
      <c r="AA16">
        <f>+(X16*(V16/1000)+(Z16*(V16/2/1000)))</f>
        <v>0</v>
      </c>
      <c r="AB16">
        <f>+(AA16/365)*Y16</f>
        <v>0</v>
      </c>
      <c r="AC16">
        <f>+AB16*0.19</f>
        <v>0</v>
      </c>
      <c r="AD16">
        <f>+AB16+AC16</f>
        <v>0</v>
      </c>
    </row>
    <row r="17">
      <c r="W17">
        <f>+T17*S17</f>
        <v>0</v>
      </c>
      <c r="X17">
        <f>U17-W17</f>
        <v>0</v>
      </c>
      <c r="Y17">
        <f>+F17-E17</f>
        <v>0</v>
      </c>
      <c r="Z17">
        <f>+X17*$AF$1</f>
        <v>0</v>
      </c>
      <c r="AA17">
        <f>+(X17*(V17/1000)+(Z17*(V17/2/1000)))</f>
        <v>0</v>
      </c>
      <c r="AB17">
        <f>+(AA17/365)*Y17</f>
        <v>0</v>
      </c>
      <c r="AC17">
        <f>+AB17*0.19</f>
        <v>0</v>
      </c>
      <c r="AD17">
        <f>+AB17+AC17</f>
        <v>0</v>
      </c>
    </row>
    <row r="18">
      <c r="W18">
        <f>+T18*S18</f>
        <v>0</v>
      </c>
      <c r="X18">
        <f>U18-W18</f>
        <v>0</v>
      </c>
      <c r="Y18">
        <f>+F18-E18</f>
        <v>0</v>
      </c>
      <c r="Z18">
        <f>+X18*$AF$1</f>
        <v>0</v>
      </c>
      <c r="AA18">
        <f>+(X18*(V18/1000)+(Z18*(V18/2/1000)))</f>
        <v>0</v>
      </c>
      <c r="AB18">
        <f>+(AA18/365)*Y18</f>
        <v>0</v>
      </c>
      <c r="AC18">
        <f>+AB18*0.19</f>
        <v>0</v>
      </c>
      <c r="AD18">
        <f>+AB18+AC18</f>
        <v>0</v>
      </c>
    </row>
    <row r="19">
      <c r="W19">
        <f>+T19*S19</f>
        <v>0</v>
      </c>
      <c r="X19">
        <f>U19-W19</f>
        <v>0</v>
      </c>
      <c r="Y19">
        <f>+F19-E19</f>
        <v>0</v>
      </c>
      <c r="Z19">
        <f>+X19*$AF$1</f>
        <v>0</v>
      </c>
      <c r="AA19">
        <f>+(X19*(V19/1000)+(Z19*(V19/2/1000)))</f>
        <v>0</v>
      </c>
      <c r="AB19">
        <f>+(AA19/365)*Y19</f>
        <v>0</v>
      </c>
      <c r="AC19">
        <f>+AB19*0.19</f>
        <v>0</v>
      </c>
      <c r="AD19">
        <f>+AB19+AC19</f>
        <v>0</v>
      </c>
    </row>
    <row r="20">
      <c r="W20">
        <f>+T20*S20</f>
        <v>0</v>
      </c>
      <c r="X20">
        <f>U20-W20</f>
        <v>0</v>
      </c>
      <c r="Y20">
        <f>+F20-E20</f>
        <v>0</v>
      </c>
      <c r="Z20">
        <f>+X20*$AF$1</f>
        <v>0</v>
      </c>
      <c r="AA20">
        <f>+(X20*(V20/1000)+(Z20*(V20/2/1000)))</f>
        <v>0</v>
      </c>
      <c r="AB20">
        <f>+(AA20/365)*Y20</f>
        <v>0</v>
      </c>
      <c r="AC20">
        <f>+AB20*0.19</f>
        <v>0</v>
      </c>
      <c r="AD20">
        <f>+AB20+AC20</f>
        <v>0</v>
      </c>
    </row>
    <row r="21">
      <c r="W21">
        <f>+T21*S21</f>
        <v>0</v>
      </c>
      <c r="X21">
        <f>U21-W21</f>
        <v>0</v>
      </c>
      <c r="Y21">
        <f>+F21-E21</f>
        <v>0</v>
      </c>
      <c r="Z21">
        <f>+X21*$AF$1</f>
        <v>0</v>
      </c>
      <c r="AA21">
        <f>+(X21*(V21/1000)+(Z21*(V21/2/1000)))</f>
        <v>0</v>
      </c>
      <c r="AB21">
        <f>+(AA21/365)*Y21</f>
        <v>0</v>
      </c>
      <c r="AC21">
        <f>+AB21*0.19</f>
        <v>0</v>
      </c>
      <c r="AD21">
        <f>+AB21+AC21</f>
        <v>0</v>
      </c>
    </row>
    <row r="22">
      <c r="W22">
        <f>+T22*S22</f>
        <v>0</v>
      </c>
      <c r="X22">
        <f>U22-W22</f>
        <v>0</v>
      </c>
      <c r="Y22">
        <f>+F22-E22</f>
        <v>0</v>
      </c>
      <c r="Z22">
        <f>+X22*$AF$1</f>
        <v>0</v>
      </c>
      <c r="AA22">
        <f>+(X22*(V22/1000)+(Z22*(V22/2/1000)))</f>
        <v>0</v>
      </c>
      <c r="AB22">
        <f>+(AA22/365)*Y22</f>
        <v>0</v>
      </c>
      <c r="AC22">
        <f>+AB22*0.19</f>
        <v>0</v>
      </c>
      <c r="AD22">
        <f>+AB22+AC22</f>
        <v>0</v>
      </c>
    </row>
    <row r="23">
      <c r="W23">
        <f>+T23*S23</f>
        <v>0</v>
      </c>
      <c r="X23">
        <f>U23-W23</f>
        <v>0</v>
      </c>
      <c r="Y23">
        <f>+F23-E23</f>
        <v>0</v>
      </c>
      <c r="Z23">
        <f>+X23*$AF$1</f>
        <v>0</v>
      </c>
      <c r="AA23">
        <f>+(X23*(V23/1000)+(Z23*(V23/2/1000)))</f>
        <v>0</v>
      </c>
      <c r="AB23">
        <f>+(AA23/365)*Y23</f>
        <v>0</v>
      </c>
      <c r="AC23">
        <f>+AB23*0.19</f>
        <v>0</v>
      </c>
      <c r="AD23">
        <f>+AB23+AC23</f>
        <v>0</v>
      </c>
    </row>
    <row r="24">
      <c r="W24">
        <f>+T24*S24</f>
        <v>0</v>
      </c>
      <c r="X24">
        <f>U24-W24</f>
        <v>0</v>
      </c>
      <c r="Y24">
        <f>+F24-E24</f>
        <v>0</v>
      </c>
      <c r="Z24">
        <f>+X24*$AF$1</f>
        <v>0</v>
      </c>
      <c r="AA24">
        <f>+(X24*(V24/1000)+(Z24*(V24/2/1000)))</f>
        <v>0</v>
      </c>
      <c r="AB24">
        <f>+(AA24/365)*Y24</f>
        <v>0</v>
      </c>
      <c r="AC24">
        <f>+AB24*0.19</f>
        <v>0</v>
      </c>
      <c r="AD24">
        <f>+AB24+AC24</f>
        <v>0</v>
      </c>
    </row>
    <row r="25">
      <c r="W25">
        <f>+T25*S25</f>
        <v>0</v>
      </c>
      <c r="X25">
        <f>U25-W25</f>
        <v>0</v>
      </c>
      <c r="Y25">
        <f>+F25-E25</f>
        <v>0</v>
      </c>
      <c r="Z25">
        <f>+X25*$AF$1</f>
        <v>0</v>
      </c>
      <c r="AA25">
        <f>+(X25*(V25/1000)+(Z25*(V25/2/1000)))</f>
        <v>0</v>
      </c>
      <c r="AB25">
        <f>+(AA25/365)*Y25</f>
        <v>0</v>
      </c>
      <c r="AC25">
        <f>+AB25*0.19</f>
        <v>0</v>
      </c>
      <c r="AD25">
        <f>+AB25+AC25</f>
        <v>0</v>
      </c>
    </row>
    <row r="26">
      <c r="W26">
        <f>+T26*S26</f>
        <v>0</v>
      </c>
      <c r="X26">
        <f>U26-W26</f>
        <v>0</v>
      </c>
      <c r="Y26">
        <f>+F26-E26</f>
        <v>0</v>
      </c>
      <c r="Z26">
        <f>+X26*$AF$1</f>
        <v>0</v>
      </c>
      <c r="AA26">
        <f>+(X26*(V26/1000)+(Z26*(V26/2/1000)))</f>
        <v>0</v>
      </c>
      <c r="AB26">
        <f>+(AA26/365)*Y26</f>
        <v>0</v>
      </c>
      <c r="AC26">
        <f>+AB26*0.19</f>
        <v>0</v>
      </c>
      <c r="AD26">
        <f>+AB26+AC26</f>
        <v>0</v>
      </c>
    </row>
    <row r="27">
      <c r="W27">
        <f>+T27*S27</f>
        <v>0</v>
      </c>
      <c r="X27">
        <f>U27-W27</f>
        <v>0</v>
      </c>
      <c r="Y27">
        <f>+F27-E27</f>
        <v>0</v>
      </c>
      <c r="Z27">
        <f>+X27*$AF$1</f>
        <v>0</v>
      </c>
      <c r="AA27">
        <f>+(X27*(V27/1000)+(Z27*(V27/2/1000)))</f>
        <v>0</v>
      </c>
      <c r="AB27">
        <f>+(AA27/365)*Y27</f>
        <v>0</v>
      </c>
      <c r="AC27">
        <f>+AB27*0.19</f>
        <v>0</v>
      </c>
      <c r="AD27">
        <f>+AB27+AC27</f>
        <v>0</v>
      </c>
    </row>
    <row r="28">
      <c r="W28">
        <f>+T28*S28</f>
        <v>0</v>
      </c>
      <c r="X28">
        <f>U28-W28</f>
        <v>0</v>
      </c>
      <c r="Y28">
        <f>+F28-E28</f>
        <v>0</v>
      </c>
      <c r="Z28">
        <f>+X28*$AF$1</f>
        <v>0</v>
      </c>
      <c r="AA28">
        <f>+(X28*(V28/1000)+(Z28*(V28/2/1000)))</f>
        <v>0</v>
      </c>
      <c r="AB28">
        <f>+(AA28/365)*Y28</f>
        <v>0</v>
      </c>
      <c r="AC28">
        <f>+AB28*0.19</f>
        <v>0</v>
      </c>
      <c r="AD28">
        <f>+AB28+AC28</f>
        <v>0</v>
      </c>
    </row>
    <row r="29">
      <c r="W29">
        <f>+T29*S29</f>
        <v>0</v>
      </c>
      <c r="X29">
        <f>U29-W29</f>
        <v>0</v>
      </c>
      <c r="Y29">
        <f>+F29-E29</f>
        <v>0</v>
      </c>
      <c r="Z29">
        <f>+X29*$AF$1</f>
        <v>0</v>
      </c>
      <c r="AA29">
        <f>+(X29*(V29/1000)+(Z29*(V29/2/1000)))</f>
        <v>0</v>
      </c>
      <c r="AB29">
        <f>+(AA29/365)*Y29</f>
        <v>0</v>
      </c>
      <c r="AC29">
        <f>+AB29*0.19</f>
        <v>0</v>
      </c>
      <c r="AD29">
        <f>+AB29+AC29</f>
        <v>0</v>
      </c>
    </row>
    <row r="30">
      <c r="W30">
        <f>+T30*S30</f>
        <v>0</v>
      </c>
      <c r="X30">
        <f>U30-W30</f>
        <v>0</v>
      </c>
      <c r="Y30">
        <f>+F30-E30</f>
        <v>0</v>
      </c>
      <c r="Z30">
        <f>+X30*$AF$1</f>
        <v>0</v>
      </c>
      <c r="AA30">
        <f>+(X30*(V30/1000)+(Z30*(V30/2/1000)))</f>
        <v>0</v>
      </c>
      <c r="AB30">
        <f>+(AA30/365)*Y30</f>
        <v>0</v>
      </c>
      <c r="AC30">
        <f>+AB30*0.19</f>
        <v>0</v>
      </c>
      <c r="AD30">
        <f>+AB30+AC30</f>
        <v>0</v>
      </c>
    </row>
    <row r="31">
      <c r="W31">
        <f>+T31*S31</f>
        <v>0</v>
      </c>
      <c r="X31">
        <f>U31-W31</f>
        <v>0</v>
      </c>
      <c r="Y31">
        <f>+F31-E31</f>
        <v>0</v>
      </c>
      <c r="Z31">
        <f>+X31*$AF$1</f>
        <v>0</v>
      </c>
      <c r="AA31">
        <f>+(X31*(V31/1000)+(Z31*(V31/2/1000)))</f>
        <v>0</v>
      </c>
      <c r="AB31">
        <f>+(AA31/365)*Y31</f>
        <v>0</v>
      </c>
      <c r="AC31">
        <f>+AB31*0.19</f>
        <v>0</v>
      </c>
      <c r="AD31">
        <f>+AB31+AC31</f>
        <v>0</v>
      </c>
    </row>
    <row r="32">
      <c r="W32">
        <f>+T32*S32</f>
        <v>0</v>
      </c>
      <c r="X32">
        <f>U32-W32</f>
        <v>0</v>
      </c>
      <c r="Y32">
        <f>+F32-E32</f>
        <v>0</v>
      </c>
      <c r="Z32">
        <f>+X32*$AF$1</f>
        <v>0</v>
      </c>
      <c r="AA32">
        <f>+(X32*(V32/1000)+(Z32*(V32/2/1000)))</f>
        <v>0</v>
      </c>
      <c r="AB32">
        <f>+(AA32/365)*Y32</f>
        <v>0</v>
      </c>
      <c r="AC32">
        <f>+AB32*0.19</f>
        <v>0</v>
      </c>
      <c r="AD32">
        <f>+AB32+AC32</f>
        <v>0</v>
      </c>
    </row>
    <row r="33">
      <c r="W33">
        <f>+T33*S33</f>
        <v>0</v>
      </c>
      <c r="X33">
        <f>U33-W33</f>
        <v>0</v>
      </c>
      <c r="Y33">
        <f>+F33-E33</f>
        <v>0</v>
      </c>
      <c r="Z33">
        <f>+X33*$AF$1</f>
        <v>0</v>
      </c>
      <c r="AA33">
        <f>+(X33*(V33/1000)+(Z33*(V33/2/1000)))</f>
        <v>0</v>
      </c>
      <c r="AB33">
        <f>+(AA33/365)*Y33</f>
        <v>0</v>
      </c>
      <c r="AC33">
        <f>+AB33*0.19</f>
        <v>0</v>
      </c>
      <c r="AD33">
        <f>+AB33+AC33</f>
        <v>0</v>
      </c>
    </row>
    <row r="34">
      <c r="W34">
        <f>+T34*S34</f>
        <v>0</v>
      </c>
      <c r="X34">
        <f>U34-W34</f>
        <v>0</v>
      </c>
      <c r="Y34">
        <f>+F34-E34</f>
        <v>0</v>
      </c>
      <c r="Z34">
        <f>+X34*$AF$1</f>
        <v>0</v>
      </c>
      <c r="AA34">
        <f>+(X34*(V34/1000)+(Z34*(V34/2/1000)))</f>
        <v>0</v>
      </c>
      <c r="AB34">
        <f>+(AA34/365)*Y34</f>
        <v>0</v>
      </c>
      <c r="AC34">
        <f>+AB34*0.19</f>
        <v>0</v>
      </c>
      <c r="AD34">
        <f>+AB34+AC34</f>
        <v>0</v>
      </c>
    </row>
    <row r="35">
      <c r="W35">
        <f>+T35*S35</f>
        <v>0</v>
      </c>
      <c r="X35">
        <f>U35-W35</f>
        <v>0</v>
      </c>
      <c r="Y35">
        <f>+F35-E35</f>
        <v>0</v>
      </c>
      <c r="Z35">
        <f>+X35*$AF$1</f>
        <v>0</v>
      </c>
      <c r="AA35">
        <f>+(X35*(V35/1000)+(Z35*(V35/2/1000)))</f>
        <v>0</v>
      </c>
      <c r="AB35">
        <f>+(AA35/365)*Y35</f>
        <v>0</v>
      </c>
      <c r="AC35">
        <f>+AB35*0.19</f>
        <v>0</v>
      </c>
      <c r="AD35">
        <f>+AB35+AC35</f>
        <v>0</v>
      </c>
    </row>
    <row r="36">
      <c r="W36">
        <f>+T36*S36</f>
        <v>0</v>
      </c>
      <c r="X36">
        <f>U36-W36</f>
        <v>0</v>
      </c>
      <c r="Y36">
        <f>+F36-E36</f>
        <v>0</v>
      </c>
      <c r="Z36">
        <f>+X36*$AF$1</f>
        <v>0</v>
      </c>
      <c r="AA36">
        <f>+(X36*(V36/1000)+(Z36*(V36/2/1000)))</f>
        <v>0</v>
      </c>
      <c r="AB36">
        <f>+(AA36/365)*Y36</f>
        <v>0</v>
      </c>
      <c r="AC36">
        <f>+AB36*0.19</f>
        <v>0</v>
      </c>
      <c r="AD36">
        <f>+AB36+AC36</f>
        <v>0</v>
      </c>
    </row>
    <row r="37">
      <c r="W37">
        <f>+T37*S37</f>
        <v>0</v>
      </c>
      <c r="X37">
        <f>U37-W37</f>
        <v>0</v>
      </c>
      <c r="Y37">
        <f>+F37-E37</f>
        <v>0</v>
      </c>
      <c r="Z37">
        <f>+X37*$AF$1</f>
        <v>0</v>
      </c>
      <c r="AA37">
        <f>+(X37*(V37/1000)+(Z37*(V37/2/1000)))</f>
        <v>0</v>
      </c>
      <c r="AB37">
        <f>+(AA37/365)*Y37</f>
        <v>0</v>
      </c>
      <c r="AC37">
        <f>+AB37*0.19</f>
        <v>0</v>
      </c>
      <c r="AD37">
        <f>+AB37+AC37</f>
        <v>0</v>
      </c>
    </row>
    <row r="38">
      <c r="W38">
        <f>+T38*S38</f>
        <v>0</v>
      </c>
      <c r="X38">
        <f>U38-W38</f>
        <v>0</v>
      </c>
      <c r="Y38">
        <f>+F38-E38</f>
        <v>0</v>
      </c>
      <c r="Z38">
        <f>+X38*$AF$1</f>
        <v>0</v>
      </c>
      <c r="AA38">
        <f>+(X38*(V38/1000)+(Z38*(V38/2/1000)))</f>
        <v>0</v>
      </c>
      <c r="AB38">
        <f>+(AA38/365)*Y38</f>
        <v>0</v>
      </c>
      <c r="AC38">
        <f>+AB38*0.19</f>
        <v>0</v>
      </c>
      <c r="AD38">
        <f>+AB38+AC38</f>
        <v>0</v>
      </c>
    </row>
    <row r="39">
      <c r="W39">
        <f>+T39*S39</f>
        <v>0</v>
      </c>
      <c r="X39">
        <f>U39-W39</f>
        <v>0</v>
      </c>
      <c r="Y39">
        <f>+F39-E39</f>
        <v>0</v>
      </c>
      <c r="Z39">
        <f>+X39*$AF$1</f>
        <v>0</v>
      </c>
      <c r="AA39">
        <f>+(X39*(V39/1000)+(Z39*(V39/2/1000)))</f>
        <v>0</v>
      </c>
      <c r="AB39">
        <f>+(AA39/365)*Y39</f>
        <v>0</v>
      </c>
      <c r="AC39">
        <f>+AB39*0.19</f>
        <v>0</v>
      </c>
      <c r="AD39">
        <f>+AB39+AC39</f>
        <v>0</v>
      </c>
    </row>
    <row r="40">
      <c r="W40">
        <f>+T40*S40</f>
        <v>0</v>
      </c>
      <c r="X40">
        <f>U40-W40</f>
        <v>0</v>
      </c>
      <c r="Y40">
        <f>+F40-E40</f>
        <v>0</v>
      </c>
      <c r="Z40">
        <f>+X40*$AF$1</f>
        <v>0</v>
      </c>
      <c r="AA40">
        <f>+(X40*(V40/1000)+(Z40*(V40/2/1000)))</f>
        <v>0</v>
      </c>
      <c r="AB40">
        <f>+(AA40/365)*Y40</f>
        <v>0</v>
      </c>
      <c r="AC40">
        <f>+AB40*0.19</f>
        <v>0</v>
      </c>
      <c r="AD40">
        <f>+AB40+AC40</f>
        <v>0</v>
      </c>
    </row>
    <row r="41">
      <c r="W41">
        <f>+T41*S41</f>
        <v>0</v>
      </c>
      <c r="X41">
        <f>U41-W41</f>
        <v>0</v>
      </c>
      <c r="Y41">
        <f>+F41-E41</f>
        <v>0</v>
      </c>
      <c r="Z41">
        <f>+X41*$AF$1</f>
        <v>0</v>
      </c>
      <c r="AA41">
        <f>+(X41*(V41/1000)+(Z41*(V41/2/1000)))</f>
        <v>0</v>
      </c>
      <c r="AB41">
        <f>+(AA41/365)*Y41</f>
        <v>0</v>
      </c>
      <c r="AC41">
        <f>+AB41*0.19</f>
        <v>0</v>
      </c>
      <c r="AD41">
        <f>+AB41+AC41</f>
        <v>0</v>
      </c>
    </row>
    <row r="42">
      <c r="W42">
        <f>+T42*S42</f>
        <v>0</v>
      </c>
      <c r="X42">
        <f>U42-W42</f>
        <v>0</v>
      </c>
      <c r="Y42">
        <f>+F42-E42</f>
        <v>0</v>
      </c>
      <c r="Z42">
        <f>+X42*$AF$1</f>
        <v>0</v>
      </c>
      <c r="AA42">
        <f>+(X42*(V42/1000)+(Z42*(V42/2/1000)))</f>
        <v>0</v>
      </c>
      <c r="AB42">
        <f>+(AA42/365)*Y42</f>
        <v>0</v>
      </c>
      <c r="AC42">
        <f>+AB42*0.19</f>
        <v>0</v>
      </c>
      <c r="AD42">
        <f>+AB42+AC42</f>
        <v>0</v>
      </c>
    </row>
    <row r="43">
      <c r="W43">
        <f>+T43*S43</f>
        <v>0</v>
      </c>
      <c r="X43">
        <f>U43-W43</f>
        <v>0</v>
      </c>
      <c r="Y43">
        <f>+F43-E43</f>
        <v>0</v>
      </c>
      <c r="Z43">
        <f>+X43*$AF$1</f>
        <v>0</v>
      </c>
      <c r="AA43">
        <f>+(X43*(V43/1000)+(Z43*(V43/2/1000)))</f>
        <v>0</v>
      </c>
      <c r="AB43">
        <f>+(AA43/365)*Y43</f>
        <v>0</v>
      </c>
      <c r="AC43">
        <f>+AB43*0.19</f>
        <v>0</v>
      </c>
      <c r="AD43">
        <f>+AB43+AC43</f>
        <v>0</v>
      </c>
    </row>
    <row r="44">
      <c r="W44">
        <f>+T44*S44</f>
        <v>0</v>
      </c>
      <c r="X44">
        <f>U44-W44</f>
        <v>0</v>
      </c>
      <c r="Y44">
        <f>+F44-E44</f>
        <v>0</v>
      </c>
      <c r="Z44">
        <f>+X44*$AF$1</f>
        <v>0</v>
      </c>
      <c r="AA44">
        <f>+(X44*(V44/1000)+(Z44*(V44/2/1000)))</f>
        <v>0</v>
      </c>
      <c r="AB44">
        <f>+(AA44/365)*Y44</f>
        <v>0</v>
      </c>
      <c r="AC44">
        <f>+AB44*0.19</f>
        <v>0</v>
      </c>
      <c r="AD44">
        <f>+AB44+AC44</f>
        <v>0</v>
      </c>
    </row>
    <row r="45">
      <c r="W45">
        <f>+T45*S45</f>
        <v>0</v>
      </c>
      <c r="X45">
        <f>U45-W45</f>
        <v>0</v>
      </c>
      <c r="Y45">
        <f>+F45-E45</f>
        <v>0</v>
      </c>
      <c r="Z45">
        <f>+X45*$AF$1</f>
        <v>0</v>
      </c>
      <c r="AA45">
        <f>+(X45*(V45/1000)+(Z45*(V45/2/1000)))</f>
        <v>0</v>
      </c>
      <c r="AB45">
        <f>+(AA45/365)*Y45</f>
        <v>0</v>
      </c>
      <c r="AC45">
        <f>+AB45*0.19</f>
        <v>0</v>
      </c>
      <c r="AD45">
        <f>+AB45+AC45</f>
        <v>0</v>
      </c>
    </row>
    <row r="46">
      <c r="W46">
        <f>+T46*S46</f>
        <v>0</v>
      </c>
      <c r="X46">
        <f>U46-W46</f>
        <v>0</v>
      </c>
      <c r="Y46">
        <f>+F46-E46</f>
        <v>0</v>
      </c>
      <c r="Z46">
        <f>+X46*$AF$1</f>
        <v>0</v>
      </c>
      <c r="AA46">
        <f>+(X46*(V46/1000)+(Z46*(V46/2/1000)))</f>
        <v>0</v>
      </c>
      <c r="AB46">
        <f>+(AA46/365)*Y46</f>
        <v>0</v>
      </c>
      <c r="AC46">
        <f>+AB46*0.19</f>
        <v>0</v>
      </c>
      <c r="AD46">
        <f>+AB46+AC46</f>
        <v>0</v>
      </c>
    </row>
    <row r="47">
      <c r="W47">
        <f>+T47*S47</f>
        <v>0</v>
      </c>
      <c r="X47">
        <f>U47-W47</f>
        <v>0</v>
      </c>
      <c r="Y47">
        <f>+F47-E47</f>
        <v>0</v>
      </c>
      <c r="Z47">
        <f>+X47*$AF$1</f>
        <v>0</v>
      </c>
      <c r="AA47">
        <f>+(X47*(V47/1000)+(Z47*(V47/2/1000)))</f>
        <v>0</v>
      </c>
      <c r="AB47">
        <f>+(AA47/365)*Y47</f>
        <v>0</v>
      </c>
      <c r="AC47">
        <f>+AB47*0.19</f>
        <v>0</v>
      </c>
      <c r="AD47">
        <f>+AB47+AC47</f>
        <v>0</v>
      </c>
    </row>
    <row r="48">
      <c r="W48">
        <f>+T48*S48</f>
        <v>0</v>
      </c>
      <c r="X48">
        <f>U48-W48</f>
        <v>0</v>
      </c>
      <c r="Y48">
        <f>+F48-E48</f>
        <v>0</v>
      </c>
      <c r="Z48">
        <f>+X48*$AF$1</f>
        <v>0</v>
      </c>
      <c r="AA48">
        <f>+(X48*(V48/1000)+(Z48*(V48/2/1000)))</f>
        <v>0</v>
      </c>
      <c r="AB48">
        <f>+(AA48/365)*Y48</f>
        <v>0</v>
      </c>
      <c r="AC48">
        <f>+AB48*0.19</f>
        <v>0</v>
      </c>
      <c r="AD48">
        <f>+AB48+AC48</f>
        <v>0</v>
      </c>
    </row>
    <row r="49">
      <c r="W49">
        <f>+T49*S49</f>
        <v>0</v>
      </c>
      <c r="X49">
        <f>U49-W49</f>
        <v>0</v>
      </c>
      <c r="Y49">
        <f>+F49-E49</f>
        <v>0</v>
      </c>
      <c r="Z49">
        <f>+X49*$AF$1</f>
        <v>0</v>
      </c>
      <c r="AA49">
        <f>+(X49*(V49/1000)+(Z49*(V49/2/1000)))</f>
        <v>0</v>
      </c>
      <c r="AB49">
        <f>+(AA49/365)*Y49</f>
        <v>0</v>
      </c>
      <c r="AC49">
        <f>+AB49*0.19</f>
        <v>0</v>
      </c>
      <c r="AD49">
        <f>+AB49+AC49</f>
        <v>0</v>
      </c>
    </row>
    <row r="50">
      <c r="W50">
        <f>+T50*S50</f>
        <v>0</v>
      </c>
      <c r="X50">
        <f>U50-W50</f>
        <v>0</v>
      </c>
      <c r="Y50">
        <f>+F50-E50</f>
        <v>0</v>
      </c>
      <c r="Z50">
        <f>+X50*$AF$1</f>
        <v>0</v>
      </c>
      <c r="AA50">
        <f>+(X50*(V50/1000)+(Z50*(V50/2/1000)))</f>
        <v>0</v>
      </c>
      <c r="AB50">
        <f>+(AA50/365)*Y50</f>
        <v>0</v>
      </c>
      <c r="AC50">
        <f>+AB50*0.19</f>
        <v>0</v>
      </c>
      <c r="AD50">
        <f>+AB50+AC50</f>
        <v>0</v>
      </c>
    </row>
    <row r="51">
      <c r="W51">
        <f>+T51*S51</f>
        <v>0</v>
      </c>
      <c r="X51">
        <f>U51-W51</f>
        <v>0</v>
      </c>
      <c r="Y51">
        <f>+F51-E51</f>
        <v>0</v>
      </c>
      <c r="Z51">
        <f>+X51*$AF$1</f>
        <v>0</v>
      </c>
      <c r="AA51">
        <f>+(X51*(V51/1000)+(Z51*(V51/2/1000)))</f>
        <v>0</v>
      </c>
      <c r="AB51">
        <f>+(AA51/365)*Y51</f>
        <v>0</v>
      </c>
      <c r="AC51">
        <f>+AB51*0.19</f>
        <v>0</v>
      </c>
      <c r="AD51">
        <f>+AB51+AC51</f>
        <v>0</v>
      </c>
    </row>
    <row r="52">
      <c r="W52">
        <f>+T52*S52</f>
        <v>0</v>
      </c>
      <c r="X52">
        <f>U52-W52</f>
        <v>0</v>
      </c>
      <c r="Y52">
        <f>+F52-E52</f>
        <v>0</v>
      </c>
      <c r="Z52">
        <f>+X52*$AF$1</f>
        <v>0</v>
      </c>
      <c r="AA52">
        <f>+(X52*(V52/1000)+(Z52*(V52/2/1000)))</f>
        <v>0</v>
      </c>
      <c r="AB52">
        <f>+(AA52/365)*Y52</f>
        <v>0</v>
      </c>
      <c r="AC52">
        <f>+AB52*0.19</f>
        <v>0</v>
      </c>
      <c r="AD52">
        <f>+AB52+AC52</f>
        <v>0</v>
      </c>
    </row>
    <row r="53">
      <c r="W53">
        <f>+T53*S53</f>
        <v>0</v>
      </c>
      <c r="X53">
        <f>U53-W53</f>
        <v>0</v>
      </c>
      <c r="Y53">
        <f>+F53-E53</f>
        <v>0</v>
      </c>
      <c r="Z53">
        <f>+X53*$AF$1</f>
        <v>0</v>
      </c>
      <c r="AA53">
        <f>+(X53*(V53/1000)+(Z53*(V53/2/1000)))</f>
        <v>0</v>
      </c>
      <c r="AB53">
        <f>+(AA53/365)*Y53</f>
        <v>0</v>
      </c>
      <c r="AC53">
        <f>+AB53*0.19</f>
        <v>0</v>
      </c>
      <c r="AD53">
        <f>+AB53+AC53</f>
        <v>0</v>
      </c>
    </row>
    <row r="54">
      <c r="W54">
        <f>+T54*S54</f>
        <v>0</v>
      </c>
      <c r="X54">
        <f>U54-W54</f>
        <v>0</v>
      </c>
      <c r="Y54">
        <f>+F54-E54</f>
        <v>0</v>
      </c>
      <c r="Z54">
        <f>+X54*$AF$1</f>
        <v>0</v>
      </c>
      <c r="AA54">
        <f>+(X54*(V54/1000)+(Z54*(V54/2/1000)))</f>
        <v>0</v>
      </c>
      <c r="AB54">
        <f>+(AA54/365)*Y54</f>
        <v>0</v>
      </c>
      <c r="AC54">
        <f>+AB54*0.19</f>
        <v>0</v>
      </c>
      <c r="AD54">
        <f>+AB54+AC54</f>
        <v>0</v>
      </c>
    </row>
    <row r="55">
      <c r="W55">
        <f>+T55*S55</f>
        <v>0</v>
      </c>
      <c r="X55">
        <f>U55-W55</f>
        <v>0</v>
      </c>
      <c r="Y55">
        <f>+F55-E55</f>
        <v>0</v>
      </c>
      <c r="Z55">
        <f>+X55*$AF$1</f>
        <v>0</v>
      </c>
      <c r="AA55">
        <f>+(X55*(V55/1000)+(Z55*(V55/2/1000)))</f>
        <v>0</v>
      </c>
      <c r="AB55">
        <f>+(AA55/365)*Y55</f>
        <v>0</v>
      </c>
      <c r="AC55">
        <f>+AB55*0.19</f>
        <v>0</v>
      </c>
      <c r="AD55">
        <f>+AB55+AC55</f>
        <v>0</v>
      </c>
    </row>
    <row r="56">
      <c r="W56">
        <f>+T56*S56</f>
        <v>0</v>
      </c>
      <c r="X56">
        <f>U56-W56</f>
        <v>0</v>
      </c>
      <c r="Y56">
        <f>+F56-E56</f>
        <v>0</v>
      </c>
      <c r="Z56">
        <f>+X56*$AF$1</f>
        <v>0</v>
      </c>
      <c r="AA56">
        <f>+(X56*(V56/1000)+(Z56*(V56/2/1000)))</f>
        <v>0</v>
      </c>
      <c r="AB56">
        <f>+(AA56/365)*Y56</f>
        <v>0</v>
      </c>
      <c r="AC56">
        <f>+AB56*0.19</f>
        <v>0</v>
      </c>
      <c r="AD56">
        <f>+AB56+AC56</f>
        <v>0</v>
      </c>
    </row>
    <row r="57">
      <c r="W57">
        <f>+T57*S57</f>
        <v>0</v>
      </c>
      <c r="X57">
        <f>U57-W57</f>
        <v>0</v>
      </c>
      <c r="Y57">
        <f>+F57-E57</f>
        <v>0</v>
      </c>
      <c r="Z57">
        <f>+X57*$AF$1</f>
        <v>0</v>
      </c>
      <c r="AA57">
        <f>+(X57*(V57/1000)+(Z57*(V57/2/1000)))</f>
        <v>0</v>
      </c>
      <c r="AB57">
        <f>+(AA57/365)*Y57</f>
        <v>0</v>
      </c>
      <c r="AC57">
        <f>+AB57*0.19</f>
        <v>0</v>
      </c>
      <c r="AD57">
        <f>+AB57+AC57</f>
        <v>0</v>
      </c>
    </row>
    <row r="58">
      <c r="W58">
        <f>+T58*S58</f>
        <v>0</v>
      </c>
      <c r="X58">
        <f>U58-W58</f>
        <v>0</v>
      </c>
      <c r="Y58">
        <f>+F58-E58</f>
        <v>0</v>
      </c>
      <c r="Z58">
        <f>+X58*$AF$1</f>
        <v>0</v>
      </c>
      <c r="AA58">
        <f>+(X58*(V58/1000)+(Z58*(V58/2/1000)))</f>
        <v>0</v>
      </c>
      <c r="AB58">
        <f>+(AA58/365)*Y58</f>
        <v>0</v>
      </c>
      <c r="AC58">
        <f>+AB58*0.19</f>
        <v>0</v>
      </c>
      <c r="AD58">
        <f>+AB58+AC58</f>
        <v>0</v>
      </c>
    </row>
    <row r="59">
      <c r="W59">
        <f>+T59*S59</f>
        <v>0</v>
      </c>
      <c r="X59">
        <f>U59-W59</f>
        <v>0</v>
      </c>
      <c r="Y59">
        <f>+F59-E59</f>
        <v>0</v>
      </c>
      <c r="Z59">
        <f>+X59*$AF$1</f>
        <v>0</v>
      </c>
      <c r="AA59">
        <f>+(X59*(V59/1000)+(Z59*(V59/2/1000)))</f>
        <v>0</v>
      </c>
      <c r="AB59">
        <f>+(AA59/365)*Y59</f>
        <v>0</v>
      </c>
      <c r="AC59">
        <f>+AB59*0.19</f>
        <v>0</v>
      </c>
      <c r="AD59">
        <f>+AB59+AC59</f>
        <v>0</v>
      </c>
    </row>
    <row r="60">
      <c r="W60">
        <f>+T60*S60</f>
        <v>0</v>
      </c>
      <c r="X60">
        <f>U60-W60</f>
        <v>0</v>
      </c>
      <c r="Y60">
        <f>+F60-E60</f>
        <v>0</v>
      </c>
      <c r="Z60">
        <f>+X60*$AF$1</f>
        <v>0</v>
      </c>
      <c r="AA60">
        <f>+(X60*(V60/1000)+(Z60*(V60/2/1000)))</f>
        <v>0</v>
      </c>
      <c r="AB60">
        <f>+(AA60/365)*Y60</f>
        <v>0</v>
      </c>
      <c r="AC60">
        <f>+AB60*0.19</f>
        <v>0</v>
      </c>
      <c r="AD60">
        <f>+AB60+AC60</f>
        <v>0</v>
      </c>
    </row>
    <row r="61">
      <c r="W61">
        <f>+T61*S61</f>
        <v>0</v>
      </c>
      <c r="X61">
        <f>U61-W61</f>
        <v>0</v>
      </c>
      <c r="Y61">
        <f>+F61-E61</f>
        <v>0</v>
      </c>
      <c r="Z61">
        <f>+X61*$AF$1</f>
        <v>0</v>
      </c>
      <c r="AA61">
        <f>+(X61*(V61/1000)+(Z61*(V61/2/1000)))</f>
        <v>0</v>
      </c>
      <c r="AB61">
        <f>+(AA61/365)*Y61</f>
        <v>0</v>
      </c>
      <c r="AC61">
        <f>+AB61*0.19</f>
        <v>0</v>
      </c>
      <c r="AD61">
        <f>+AB61+AC61</f>
        <v>0</v>
      </c>
    </row>
  </sheetData>
  <pageMargins left="0.7" right="0.7" top="0.75" bottom="0.75" header="0.3" footer="0.3"/>
  <ignoredErrors>
    <ignoredError numberStoredAsText="1" sqref="A1:AP6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D24"/>
  <sheetViews>
    <sheetView workbookViewId="0" rightToLeft="0"/>
  </sheetViews>
  <sheetData>
    <row r="1">
      <c r="A1" t="str">
        <v xml:space="preserve">Tipo de endoso </v>
      </c>
      <c r="S1" t="str">
        <v>Coeficiente total (Suma Apto, C. Util y Parqueadero)</v>
      </c>
    </row>
    <row r="2">
      <c r="A2" t="str">
        <v>RECONSTRUCCION</v>
      </c>
      <c r="W2">
        <f>+T2*S2</f>
        <v>0</v>
      </c>
      <c r="X2">
        <f>U2-W2</f>
        <v>0</v>
      </c>
      <c r="Y2">
        <f>+F2-E2</f>
        <v>0</v>
      </c>
      <c r="Z2">
        <f>+X2*$AF$1</f>
        <v>0</v>
      </c>
      <c r="AA2">
        <f>+(X2*(V2/1000)+(Z2*(V2/2/1000)))</f>
        <v>0</v>
      </c>
      <c r="AB2">
        <f>+(AA2/365)*Y2</f>
        <v>0</v>
      </c>
      <c r="AC2">
        <f>+AB2*0.19</f>
        <v>0</v>
      </c>
      <c r="AD2">
        <f>+AB2+AC2</f>
        <v>0</v>
      </c>
    </row>
    <row r="3">
      <c r="A3" t="str">
        <v xml:space="preserve">COMERCIAL </v>
      </c>
      <c r="W3">
        <f>+T3*S3</f>
        <v>0</v>
      </c>
      <c r="X3">
        <f>U3-W3</f>
        <v>0</v>
      </c>
      <c r="Y3">
        <f>+F3-E3</f>
        <v>0</v>
      </c>
      <c r="Z3">
        <f>+X3*$AF$1</f>
        <v>0</v>
      </c>
      <c r="AA3">
        <f>+(X3*(V3/1000)+(Z3*(V3/2/1000)))</f>
        <v>0</v>
      </c>
      <c r="AB3">
        <f>+(AA3/365)*Y3</f>
        <v>0</v>
      </c>
      <c r="AC3">
        <f>+AB3*0.19</f>
        <v>0</v>
      </c>
      <c r="AD3">
        <f>+AB3+AC3</f>
        <v>0</v>
      </c>
    </row>
    <row r="4">
      <c r="W4">
        <f>+T4*S4</f>
        <v>0</v>
      </c>
      <c r="X4">
        <f>U4-W4</f>
        <v>0</v>
      </c>
      <c r="Y4">
        <f>+F4-E4</f>
        <v>0</v>
      </c>
      <c r="Z4">
        <f>+X4*$AF$1</f>
        <v>0</v>
      </c>
      <c r="AA4">
        <f>+(X4*(V4/1000)+(Z4*(V4/2/1000)))</f>
        <v>0</v>
      </c>
      <c r="AB4">
        <f>+(AA4/365)*Y4</f>
        <v>0</v>
      </c>
      <c r="AC4">
        <f>+AB4*0.19</f>
        <v>0</v>
      </c>
      <c r="AD4">
        <f>+AB4+AC4</f>
        <v>0</v>
      </c>
    </row>
    <row r="5">
      <c r="W5">
        <f>+T5*S5</f>
        <v>0</v>
      </c>
      <c r="X5">
        <f>U5-W5</f>
        <v>0</v>
      </c>
      <c r="Y5">
        <f>+F5-E5</f>
        <v>0</v>
      </c>
      <c r="Z5">
        <f>+X5*$AF$1</f>
        <v>0</v>
      </c>
      <c r="AA5">
        <f>+(X5*(V5/1000)+(Z5*(V5/2/1000)))</f>
        <v>0</v>
      </c>
      <c r="AB5">
        <f>+(AA5/365)*Y5</f>
        <v>0</v>
      </c>
      <c r="AC5">
        <f>+AB5*0.19</f>
        <v>0</v>
      </c>
      <c r="AD5">
        <f>+AB5+AC5</f>
        <v>0</v>
      </c>
    </row>
    <row r="6">
      <c r="W6">
        <f>+T6*S6</f>
        <v>0</v>
      </c>
      <c r="X6">
        <f>U6-W6</f>
        <v>0</v>
      </c>
      <c r="Y6">
        <f>+F6-E6</f>
        <v>0</v>
      </c>
      <c r="Z6">
        <f>+X6*$AF$1</f>
        <v>0</v>
      </c>
      <c r="AA6">
        <f>+(X6*(V6/1000)+(Z6*(V6/2/1000)))</f>
        <v>0</v>
      </c>
      <c r="AB6">
        <f>+(AA6/365)*Y6</f>
        <v>0</v>
      </c>
      <c r="AC6">
        <f>+AB6*0.19</f>
        <v>0</v>
      </c>
      <c r="AD6">
        <f>+AB6+AC6</f>
        <v>0</v>
      </c>
    </row>
    <row r="7">
      <c r="W7">
        <f>+T7*S7</f>
        <v>0</v>
      </c>
      <c r="X7">
        <f>U7-W7</f>
        <v>0</v>
      </c>
      <c r="Y7">
        <f>+F7-E7</f>
        <v>0</v>
      </c>
      <c r="Z7">
        <f>+X7*$AF$1</f>
        <v>0</v>
      </c>
      <c r="AA7">
        <f>+(X7*(V7/1000)+(Z7*(V7/2/1000)))</f>
        <v>0</v>
      </c>
      <c r="AB7">
        <f>+(AA7/365)*Y7</f>
        <v>0</v>
      </c>
      <c r="AC7">
        <f>+AB7*0.19</f>
        <v>0</v>
      </c>
      <c r="AD7">
        <f>+AB7+AC7</f>
        <v>0</v>
      </c>
    </row>
    <row r="8">
      <c r="W8">
        <f>+T8*S8</f>
        <v>0</v>
      </c>
      <c r="X8">
        <f>U8-W8</f>
        <v>0</v>
      </c>
      <c r="Y8">
        <f>+F8-E8</f>
        <v>0</v>
      </c>
      <c r="Z8">
        <f>+X8*$AF$1</f>
        <v>0</v>
      </c>
      <c r="AA8">
        <f>+(X8*(V8/1000)+(Z8*(V8/2/1000)))</f>
        <v>0</v>
      </c>
      <c r="AB8">
        <f>+(AA8/365)*Y8</f>
        <v>0</v>
      </c>
      <c r="AC8">
        <f>+AB8*0.19</f>
        <v>0</v>
      </c>
      <c r="AD8">
        <f>+AB8+AC8</f>
        <v>0</v>
      </c>
    </row>
    <row r="9">
      <c r="W9">
        <f>+T9*S9</f>
        <v>0</v>
      </c>
      <c r="X9">
        <f>U9-W9</f>
        <v>0</v>
      </c>
      <c r="Y9">
        <f>+F9-E9</f>
        <v>0</v>
      </c>
      <c r="Z9">
        <f>+X9*$AF$1</f>
        <v>0</v>
      </c>
      <c r="AA9">
        <f>+(X9*(V9/1000)+(Z9*(V9/2/1000)))</f>
        <v>0</v>
      </c>
      <c r="AB9">
        <f>+(AA9/365)*Y9</f>
        <v>0</v>
      </c>
      <c r="AC9">
        <f>+AB9*0.19</f>
        <v>0</v>
      </c>
      <c r="AD9">
        <f>+AB9+AC9</f>
        <v>0</v>
      </c>
    </row>
    <row r="10">
      <c r="W10">
        <f>+T10*S10</f>
        <v>0</v>
      </c>
      <c r="X10">
        <f>U10-W10</f>
        <v>0</v>
      </c>
      <c r="Y10">
        <f>+F10-E10</f>
        <v>0</v>
      </c>
      <c r="Z10">
        <f>+X10*$AF$1</f>
        <v>0</v>
      </c>
      <c r="AA10">
        <f>+(X10*(V10/1000)+(Z10*(V10/2/1000)))</f>
        <v>0</v>
      </c>
      <c r="AB10">
        <f>+(AA10/365)*Y10</f>
        <v>0</v>
      </c>
      <c r="AC10">
        <f>+AB10*0.19</f>
        <v>0</v>
      </c>
      <c r="AD10">
        <f>+AB10+AC10</f>
        <v>0</v>
      </c>
    </row>
    <row r="11">
      <c r="W11">
        <f>+T11*S11</f>
        <v>0</v>
      </c>
      <c r="X11">
        <f>U11-W11</f>
        <v>0</v>
      </c>
      <c r="Y11">
        <f>+F11-E11</f>
        <v>0</v>
      </c>
      <c r="Z11">
        <f>+X11*$AF$1</f>
        <v>0</v>
      </c>
      <c r="AA11">
        <f>+(X11*(V11/1000)+(Z11*(V11/2/1000)))</f>
        <v>0</v>
      </c>
      <c r="AB11">
        <f>+(AA11/365)*Y11</f>
        <v>0</v>
      </c>
      <c r="AC11">
        <f>+AB11*0.19</f>
        <v>0</v>
      </c>
      <c r="AD11">
        <f>+AB11+AC11</f>
        <v>0</v>
      </c>
    </row>
    <row r="12">
      <c r="W12">
        <f>+T12*S12</f>
        <v>0</v>
      </c>
      <c r="X12">
        <f>U12-W12</f>
        <v>0</v>
      </c>
      <c r="Y12">
        <f>+F12-E12</f>
        <v>0</v>
      </c>
      <c r="Z12">
        <f>+X12*$AF$1</f>
        <v>0</v>
      </c>
      <c r="AA12">
        <f>+(X12*(V12/1000)+(Z12*(V12/2/1000)))</f>
        <v>0</v>
      </c>
      <c r="AB12">
        <f>+(AA12/365)*Y12</f>
        <v>0</v>
      </c>
      <c r="AC12">
        <f>+AB12*0.19</f>
        <v>0</v>
      </c>
      <c r="AD12">
        <f>+AB12+AC12</f>
        <v>0</v>
      </c>
    </row>
    <row r="13">
      <c r="W13">
        <f>+T13*S13</f>
        <v>0</v>
      </c>
      <c r="X13">
        <f>U13-W13</f>
        <v>0</v>
      </c>
      <c r="Y13">
        <f>+F13-E13</f>
        <v>0</v>
      </c>
      <c r="Z13">
        <f>+X13*$AF$1</f>
        <v>0</v>
      </c>
      <c r="AA13">
        <f>+(X13*(V13/1000)+(Z13*(V13/2/1000)))</f>
        <v>0</v>
      </c>
      <c r="AB13">
        <f>+(AA13/365)*Y13</f>
        <v>0</v>
      </c>
      <c r="AC13">
        <f>+AB13*0.19</f>
        <v>0</v>
      </c>
      <c r="AD13">
        <f>+AB13+AC13</f>
        <v>0</v>
      </c>
    </row>
    <row r="14">
      <c r="W14">
        <f>+T14*S14</f>
        <v>0</v>
      </c>
      <c r="X14">
        <f>U14-W14</f>
        <v>0</v>
      </c>
      <c r="Y14">
        <f>+F14-E14</f>
        <v>0</v>
      </c>
      <c r="Z14">
        <f>+X14*$AF$1</f>
        <v>0</v>
      </c>
      <c r="AA14">
        <f>+(X14*(V14/1000)+(Z14*(V14/2/1000)))</f>
        <v>0</v>
      </c>
      <c r="AB14">
        <f>+(AA14/365)*Y14</f>
        <v>0</v>
      </c>
      <c r="AC14">
        <f>+AB14*0.19</f>
        <v>0</v>
      </c>
      <c r="AD14">
        <f>+AB14+AC14</f>
        <v>0</v>
      </c>
    </row>
    <row r="15">
      <c r="W15">
        <f>+T15*S15</f>
        <v>0</v>
      </c>
      <c r="X15">
        <f>U15-W15</f>
        <v>0</v>
      </c>
      <c r="Y15">
        <f>+F15-E15</f>
        <v>0</v>
      </c>
      <c r="Z15">
        <f>+X15*$AF$1</f>
        <v>0</v>
      </c>
      <c r="AA15">
        <f>+(X15*(V15/1000)+(Z15*(V15/2/1000)))</f>
        <v>0</v>
      </c>
      <c r="AB15">
        <f>+(AA15/365)*Y15</f>
        <v>0</v>
      </c>
      <c r="AC15">
        <f>+AB15*0.19</f>
        <v>0</v>
      </c>
      <c r="AD15">
        <f>+AB15+AC15</f>
        <v>0</v>
      </c>
    </row>
    <row r="16">
      <c r="W16">
        <f>+T16*S16</f>
        <v>0</v>
      </c>
      <c r="X16">
        <f>U16-W16</f>
        <v>0</v>
      </c>
      <c r="Y16">
        <f>+F16-E16</f>
        <v>0</v>
      </c>
      <c r="Z16">
        <f>+X16*$AF$1</f>
        <v>0</v>
      </c>
      <c r="AA16">
        <f>+(X16*(V16/1000)+(Z16*(V16/2/1000)))</f>
        <v>0</v>
      </c>
      <c r="AB16">
        <f>+(AA16/365)*Y16</f>
        <v>0</v>
      </c>
      <c r="AC16">
        <f>+AB16*0.19</f>
        <v>0</v>
      </c>
      <c r="AD16">
        <f>+AB16+AC16</f>
        <v>0</v>
      </c>
    </row>
    <row r="17">
      <c r="W17">
        <f>+T17*S17</f>
        <v>0</v>
      </c>
      <c r="X17">
        <f>U17-W17</f>
        <v>0</v>
      </c>
      <c r="Y17">
        <f>+F17-E17</f>
        <v>0</v>
      </c>
      <c r="Z17">
        <f>+X17*$AF$1</f>
        <v>0</v>
      </c>
      <c r="AA17">
        <f>+(X17*(V17/1000)+(Z17*(V17/2/1000)))</f>
        <v>0</v>
      </c>
      <c r="AB17">
        <f>+(AA17/365)*Y17</f>
        <v>0</v>
      </c>
      <c r="AC17">
        <f>+AB17*0.19</f>
        <v>0</v>
      </c>
      <c r="AD17">
        <f>+AB17+AC17</f>
        <v>0</v>
      </c>
    </row>
    <row r="18">
      <c r="W18">
        <f>+T18*S18</f>
        <v>0</v>
      </c>
      <c r="X18">
        <f>U18-W18</f>
        <v>0</v>
      </c>
      <c r="Y18">
        <f>+F18-E18</f>
        <v>0</v>
      </c>
      <c r="Z18">
        <f>+X18*$AF$1</f>
        <v>0</v>
      </c>
      <c r="AA18">
        <f>+(X18*(V18/1000)+(Z18*(V18/2/1000)))</f>
        <v>0</v>
      </c>
      <c r="AB18">
        <f>+(AA18/365)*Y18</f>
        <v>0</v>
      </c>
      <c r="AC18">
        <f>+AB18*0.19</f>
        <v>0</v>
      </c>
      <c r="AD18">
        <f>+AB18+AC18</f>
        <v>0</v>
      </c>
    </row>
    <row r="19">
      <c r="W19">
        <f>+T19*S19</f>
        <v>0</v>
      </c>
      <c r="X19">
        <f>U19-W19</f>
        <v>0</v>
      </c>
      <c r="Y19">
        <f>+F19-E19</f>
        <v>0</v>
      </c>
      <c r="Z19">
        <f>+X19*$AF$1</f>
        <v>0</v>
      </c>
      <c r="AA19">
        <f>+(X19*(V19/1000)+(Z19*(V19/2/1000)))</f>
        <v>0</v>
      </c>
      <c r="AB19">
        <f>+(AA19/365)*Y19</f>
        <v>0</v>
      </c>
      <c r="AC19">
        <f>+AB19*0.19</f>
        <v>0</v>
      </c>
      <c r="AD19">
        <f>+AB19+AC19</f>
        <v>0</v>
      </c>
    </row>
    <row r="20">
      <c r="W20">
        <f>+T20*S20</f>
        <v>0</v>
      </c>
      <c r="X20">
        <f>U20-W20</f>
        <v>0</v>
      </c>
      <c r="Y20">
        <f>+F20-E20</f>
        <v>0</v>
      </c>
      <c r="Z20">
        <f>+X20*$AF$1</f>
        <v>0</v>
      </c>
      <c r="AA20">
        <f>+(X20*(V20/1000)+(Z20*(V20/2/1000)))</f>
        <v>0</v>
      </c>
      <c r="AB20">
        <f>+(AA20/365)*Y20</f>
        <v>0</v>
      </c>
      <c r="AC20">
        <f>+AB20*0.19</f>
        <v>0</v>
      </c>
      <c r="AD20">
        <f>+AB20+AC20</f>
        <v>0</v>
      </c>
    </row>
    <row r="21">
      <c r="W21">
        <f>+T21*S21</f>
        <v>0</v>
      </c>
      <c r="X21">
        <f>U21-W21</f>
        <v>0</v>
      </c>
      <c r="Y21">
        <f>+F21-E21</f>
        <v>0</v>
      </c>
      <c r="Z21">
        <f>+X21*$AF$1</f>
        <v>0</v>
      </c>
      <c r="AA21">
        <f>+(X21*(V21/1000)+(Z21*(V21/2/1000)))</f>
        <v>0</v>
      </c>
      <c r="AB21">
        <f>+(AA21/365)*Y21</f>
        <v>0</v>
      </c>
      <c r="AC21">
        <f>+AB21*0.19</f>
        <v>0</v>
      </c>
      <c r="AD21">
        <f>+AB21+AC21</f>
        <v>0</v>
      </c>
    </row>
    <row r="22">
      <c r="W22">
        <f>+T22*S22</f>
        <v>0</v>
      </c>
      <c r="X22">
        <f>U22-W22</f>
        <v>0</v>
      </c>
      <c r="Y22">
        <f>+F22-E22</f>
        <v>0</v>
      </c>
      <c r="Z22">
        <f>+X22*$AF$1</f>
        <v>0</v>
      </c>
      <c r="AA22">
        <f>+(X22*(V22/1000)+(Z22*(V22/2/1000)))</f>
        <v>0</v>
      </c>
      <c r="AB22">
        <f>+(AA22/365)*Y22</f>
        <v>0</v>
      </c>
      <c r="AC22">
        <f>+AB22*0.19</f>
        <v>0</v>
      </c>
      <c r="AD22">
        <f>+AB22+AC22</f>
        <v>0</v>
      </c>
    </row>
    <row r="23">
      <c r="W23">
        <f>+T23*S23</f>
        <v>0</v>
      </c>
      <c r="X23">
        <f>U23-W23</f>
        <v>0</v>
      </c>
      <c r="Y23">
        <f>+F23-E23</f>
        <v>0</v>
      </c>
      <c r="Z23">
        <f>+X23*$AF$1</f>
        <v>0</v>
      </c>
      <c r="AA23">
        <f>+(X23*(V23/1000)+(Z23*(V23/2/1000)))</f>
        <v>0</v>
      </c>
      <c r="AB23">
        <f>+(AA23/365)*Y23</f>
        <v>0</v>
      </c>
      <c r="AC23">
        <f>+AB23*0.19</f>
        <v>0</v>
      </c>
      <c r="AD23">
        <f>+AB23+AC23</f>
        <v>0</v>
      </c>
    </row>
    <row r="24">
      <c r="W24">
        <f>+T24*S24</f>
        <v>0</v>
      </c>
      <c r="X24">
        <f>U24-W24</f>
        <v>0</v>
      </c>
      <c r="Y24">
        <f>+F24-E24</f>
        <v>0</v>
      </c>
      <c r="Z24">
        <f>+X24*$AF$1</f>
        <v>0</v>
      </c>
      <c r="AA24">
        <f>+(X24*(V24/1000)+(Z24*(V24/2/1000)))</f>
        <v>0</v>
      </c>
      <c r="AB24">
        <f>+(AA24/365)*Y24</f>
        <v>0</v>
      </c>
      <c r="AC24">
        <f>+AB24*0.19</f>
        <v>0</v>
      </c>
      <c r="AD24">
        <f>+AB24+AC24</f>
        <v>0</v>
      </c>
    </row>
  </sheetData>
  <pageMargins left="0.7" right="0.7" top="0.75" bottom="0.75" header="0.3" footer="0.3"/>
  <ignoredErrors>
    <ignoredError numberStoredAsText="1" sqref="A1:AD2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FORMATO </vt:lpstr>
      <vt:lpstr>Hoja3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2018-08-16T14:04:51Z</dcterms:created>
  <dcterms:modified xsi:type="dcterms:W3CDTF">2026-08-20T19:54:37Z</dcterms:modified>
  <cp:lastModifiedBy>Licenciamiento - Cuantico Seguros</cp:lastModifiedBy>
  <dc:creator>Admin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d7dcfcf-2f13-416d-bd85-85e5cda1e908_Enabled">
    <vt:lpwstr>true</vt:lpwstr>
  </property>
  <property fmtid="{D5CDD505-2E9C-101B-9397-08002B2CF9AE}" pid="3" name="MSIP_Label_4d7dcfcf-2f13-416d-bd85-85e5cda1e908_SetDate">
    <vt:lpwstr>2022-07-25T20:44:19Z</vt:lpwstr>
  </property>
  <property fmtid="{D5CDD505-2E9C-101B-9397-08002B2CF9AE}" pid="4" name="MSIP_Label_4d7dcfcf-2f13-416d-bd85-85e5cda1e908_Method">
    <vt:lpwstr>Privileged</vt:lpwstr>
  </property>
  <property fmtid="{D5CDD505-2E9C-101B-9397-08002B2CF9AE}" pid="5" name="MSIP_Label_4d7dcfcf-2f13-416d-bd85-85e5cda1e908_Name">
    <vt:lpwstr>PÃºblica</vt:lpwstr>
  </property>
  <property fmtid="{D5CDD505-2E9C-101B-9397-08002B2CF9AE}" pid="6" name="MSIP_Label_4d7dcfcf-2f13-416d-bd85-85e5cda1e908_SiteId">
    <vt:lpwstr>73e84937-70de-4ceb-8f14-b8f9ab356f6e</vt:lpwstr>
  </property>
  <property fmtid="{D5CDD505-2E9C-101B-9397-08002B2CF9AE}" pid="7" name="MSIP_Label_4d7dcfcf-2f13-416d-bd85-85e5cda1e908_ActionId">
    <vt:lpwstr>ec04ad57-3e44-49d2-9277-d7b1f9c21a5b</vt:lpwstr>
  </property>
  <property fmtid="{D5CDD505-2E9C-101B-9397-08002B2CF9AE}" pid="8" name="MSIP_Label_4d7dcfcf-2f13-416d-bd85-85e5cda1e908_ContentBits">
    <vt:lpwstr>2</vt:lpwstr>
  </property>
  <property fmtid="{D5CDD505-2E9C-101B-9397-08002B2CF9AE}" pid="9" name="ContentTypeId">
    <vt:lpwstr>0x010100E2A6A35E53F6F5429D08E579A9F301BF</vt:lpwstr>
  </property>
  <property fmtid="{D5CDD505-2E9C-101B-9397-08002B2CF9AE}" pid="10" name="MediaServiceImageTags">
    <vt:lpwstr/>
  </property>
  <property fmtid="{D5CDD505-2E9C-101B-9397-08002B2CF9AE}" pid="11" name="ComplianceAssetId">
    <vt:lpwstr/>
  </property>
  <property fmtid="{D5CDD505-2E9C-101B-9397-08002B2CF9AE}" pid="12" name="_ExtendedDescription">
    <vt:lpwstr/>
  </property>
  <property fmtid="{D5CDD505-2E9C-101B-9397-08002B2CF9AE}" pid="13" name="TriggerFlowInfo">
    <vt:lpwstr/>
  </property>
</Properties>
</file>