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FORMATO " sheetId="1" r:id="rId1"/>
    <sheet name="Hoja3" sheetId="2" r:id="rId2"/>
  </sheets>
  <definedNames>
    <definedName name="_xlnm._FilterDatabase" localSheetId="0" hidden="1">'FORMATO '!$A$1:$AF$11</definedName>
  </definedNames>
</workbook>
</file>

<file path=xl/comments1.xml><?xml version="1.0" encoding="utf-8"?>
<comments xmlns="http://schemas.openxmlformats.org/spreadsheetml/2006/main">
  <authors>
    <author>NATALIA MARIA MARIN VELEZ</author>
    <author>tc={54EE7951-7262-4200-6969-000000000000}</author>
  </authors>
  <commentList>
    <comment ref="U1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&quot;$&quot;* #,##0.00_-;\-&quot;$&quot;* #,##0.00_-;_-&quot;$&quot;* &quot;-&quot;??_-;_-@_-"/>
    <numFmt numFmtId="165" formatCode="_-* #,##0_-;\-* #,##0_-;_-* &quot;-&quot;??_-;_-@_-"/>
    <numFmt numFmtId="166" formatCode="_-&quot;$&quot;* #,##0_-;\-&quot;$&quot;* #,##0_-;_-&quot;$&quot;* &quot;-&quot;??_-;_-@_-"/>
    <numFmt numFmtId="167" formatCode="_(&quot;$&quot;\ * #,##0.00_);_(&quot;$&quot;\ * \(#,##0.00\);_(&quot;$&quot;\ * &quot;-&quot;??_);_(@_)"/>
    <numFmt numFmtId="168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NATALIA MARIA MARIN VELEZ" id="{54EE7950-7262-4200-6969-000000000001}" userId="NATALIA MARIA MARIN VELEZ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U1" id="{54EE7951-7262-4200-6969-000000000000}" personId="{54EE7950-7262-4200-6969-000000000001}">
    <text xml:space="preserve">Se debe diligenciar el formato solo hasta esta celda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54"/>
  <sheetViews>
    <sheetView workbookViewId="0" rightToLeft="0"/>
  </sheetViews>
  <sheetData>
    <row r="1">
      <c r="A1" t="str">
        <v>Agencia</v>
      </c>
      <c r="B1" t="str">
        <v>Tipo de endoso (Comercial / Reconstrucción)</v>
      </c>
      <c r="C1" t="str">
        <v>Número de póliza</v>
      </c>
      <c r="D1" t="str">
        <v>Fecha Solicitud Endoso</v>
      </c>
      <c r="E1" t="str">
        <v xml:space="preserve">Fecha Fin de Vigencia </v>
      </c>
      <c r="F1" t="str">
        <v>Nombre de copropiedad</v>
      </c>
      <c r="G1" t="str">
        <v>Nit Copropiedad</v>
      </c>
      <c r="H1" t="str">
        <v xml:space="preserve">Nomenclatura (Ejemplo: Calle 54B # 32 Sur 44) </v>
      </c>
      <c r="I1" t="str">
        <v>Municipio</v>
      </c>
      <c r="J1" t="str">
        <v xml:space="preserve">Número de Torre </v>
      </c>
      <c r="K1" t="str">
        <v>Número de  Apartamento</v>
      </c>
      <c r="L1" t="str">
        <v>Número de  Cuarto Útil</v>
      </c>
      <c r="M1" t="str">
        <v>Número de Parqueadero</v>
      </c>
      <c r="N1" t="str">
        <v xml:space="preserve">Dirección completa del Riesgo (Nomenclatura, # Torre, #Apartamento, #cuarto util, # parqueadero) </v>
      </c>
      <c r="O1" t="str">
        <v>Nombre del propietario(s)</v>
      </c>
      <c r="P1" t="str">
        <v>Cédula(s) o documento de identidad</v>
      </c>
      <c r="Q1" t="str">
        <v>Banco /Entidad solicitante</v>
      </c>
      <c r="R1" t="str">
        <v>Nit</v>
      </c>
      <c r="S1" t="str">
        <v>Coeficiente total (Suma Apto, C. Util y Parqueadero)</v>
      </c>
      <c r="T1" t="str">
        <v>Valor Asegurado (Edificio, Maquinaria, Eq. Elec y Contenido)</v>
      </c>
      <c r="U1" t="str">
        <v>Valor requerido acorde con el tipo de endoso</v>
      </c>
      <c r="V1" t="str">
        <v>Tasa Across</v>
      </c>
      <c r="W1" t="str">
        <v>Valor Reconstrucción</v>
      </c>
      <c r="X1" t="str">
        <v>Diferencia</v>
      </c>
      <c r="Y1" t="str">
        <v>Dias a Cobrar</v>
      </c>
      <c r="Z1" t="str">
        <v>Indice Variable (%)</v>
      </c>
      <c r="AA1" t="str">
        <v xml:space="preserve">Prima Anual  </v>
      </c>
      <c r="AB1" t="str">
        <v>Prima Prorrata</v>
      </c>
      <c r="AC1" t="str">
        <v>Iva</v>
      </c>
      <c r="AD1" t="str">
        <v>Total a Cobrar</v>
      </c>
      <c r="AE1" t="str">
        <v>Indice Variable</v>
      </c>
      <c r="AF1">
        <v>0.05</v>
      </c>
    </row>
    <row r="2">
      <c r="W2">
        <f>+T2*S2</f>
        <v>0</v>
      </c>
      <c r="X2">
        <f>U2-W2</f>
        <v>0</v>
      </c>
      <c r="Y2">
        <f>+F2-E2</f>
        <v>0</v>
      </c>
      <c r="Z2">
        <f>+X2*$AF$1</f>
        <v>0</v>
      </c>
      <c r="AA2">
        <f>+(X2*(V2/1000)+(Z2*(V2/2/1000)))</f>
        <v>0</v>
      </c>
      <c r="AB2">
        <f>+(AA2/365)*Y2</f>
        <v>0</v>
      </c>
      <c r="AC2">
        <f>+AB2*0.19</f>
        <v>0</v>
      </c>
      <c r="AD2">
        <f>+AB2+AC2</f>
        <v>0</v>
      </c>
    </row>
  </sheetData>
  <pageMargins left="0.7" right="0.7" top="0.75" bottom="0.75" header="0.3" footer="0.3"/>
  <ignoredErrors>
    <ignoredError numberStoredAsText="1" sqref="A1:AP54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4"/>
  <sheetViews>
    <sheetView workbookViewId="0" rightToLeft="0"/>
  </sheetViews>
  <sheetData>
    <row r="1">
      <c r="A1" t="str">
        <v xml:space="preserve">Tipo de endoso </v>
      </c>
      <c r="S1" t="str">
        <v>Coeficiente total (Suma Apto, C. Util y Parqueadero)</v>
      </c>
    </row>
    <row r="2">
      <c r="A2" t="str">
        <v>RECONSTRUCCION</v>
      </c>
      <c r="W2">
        <f>+T2*S2</f>
        <v>0</v>
      </c>
      <c r="X2">
        <f>U2-W2</f>
        <v>0</v>
      </c>
      <c r="Y2">
        <f>+F2-E2</f>
        <v>0</v>
      </c>
      <c r="Z2">
        <f>+X2*$AF$1</f>
        <v>0</v>
      </c>
      <c r="AA2">
        <f>+(X2*(V2/1000)+(Z2*(V2/2/1000)))</f>
        <v>0</v>
      </c>
      <c r="AB2">
        <f>+(AA2/365)*Y2</f>
        <v>0</v>
      </c>
      <c r="AC2">
        <f>+AB2*0.19</f>
        <v>0</v>
      </c>
      <c r="AD2">
        <f>+AB2+AC2</f>
        <v>0</v>
      </c>
    </row>
    <row r="3">
      <c r="A3" t="str">
        <v xml:space="preserve">COMERCIAL </v>
      </c>
      <c r="W3">
        <f>+T3*S3</f>
        <v>0</v>
      </c>
      <c r="X3">
        <f>U3-W3</f>
        <v>0</v>
      </c>
      <c r="Y3">
        <f>+F3-E3</f>
        <v>0</v>
      </c>
      <c r="Z3">
        <f>+X3*$AF$1</f>
        <v>0</v>
      </c>
      <c r="AA3">
        <f>+(X3*(V3/1000)+(Z3*(V3/2/1000)))</f>
        <v>0</v>
      </c>
      <c r="AB3">
        <f>+(AA3/365)*Y3</f>
        <v>0</v>
      </c>
      <c r="AC3">
        <f>+AB3*0.19</f>
        <v>0</v>
      </c>
      <c r="AD3">
        <f>+AB3+AC3</f>
        <v>0</v>
      </c>
    </row>
    <row r="4">
      <c r="W4">
        <f>+T4*S4</f>
        <v>0</v>
      </c>
      <c r="X4">
        <f>U4-W4</f>
        <v>0</v>
      </c>
      <c r="Y4">
        <f>+F4-E4</f>
        <v>0</v>
      </c>
      <c r="Z4">
        <f>+X4*$AF$1</f>
        <v>0</v>
      </c>
      <c r="AA4">
        <f>+(X4*(V4/1000)+(Z4*(V4/2/1000)))</f>
        <v>0</v>
      </c>
      <c r="AB4">
        <f>+(AA4/365)*Y4</f>
        <v>0</v>
      </c>
      <c r="AC4">
        <f>+AB4*0.19</f>
        <v>0</v>
      </c>
      <c r="AD4">
        <f>+AB4+AC4</f>
        <v>0</v>
      </c>
    </row>
    <row r="5">
      <c r="W5">
        <f>+T5*S5</f>
        <v>0</v>
      </c>
      <c r="X5">
        <f>U5-W5</f>
        <v>0</v>
      </c>
      <c r="Y5">
        <f>+F5-E5</f>
        <v>0</v>
      </c>
      <c r="Z5">
        <f>+X5*$AF$1</f>
        <v>0</v>
      </c>
      <c r="AA5">
        <f>+(X5*(V5/1000)+(Z5*(V5/2/1000)))</f>
        <v>0</v>
      </c>
      <c r="AB5">
        <f>+(AA5/365)*Y5</f>
        <v>0</v>
      </c>
      <c r="AC5">
        <f>+AB5*0.19</f>
        <v>0</v>
      </c>
      <c r="AD5">
        <f>+AB5+AC5</f>
        <v>0</v>
      </c>
    </row>
    <row r="6">
      <c r="W6">
        <f>+T6*S6</f>
        <v>0</v>
      </c>
      <c r="X6">
        <f>U6-W6</f>
        <v>0</v>
      </c>
      <c r="Y6">
        <f>+F6-E6</f>
        <v>0</v>
      </c>
      <c r="Z6">
        <f>+X6*$AF$1</f>
        <v>0</v>
      </c>
      <c r="AA6">
        <f>+(X6*(V6/1000)+(Z6*(V6/2/1000)))</f>
        <v>0</v>
      </c>
      <c r="AB6">
        <f>+(AA6/365)*Y6</f>
        <v>0</v>
      </c>
      <c r="AC6">
        <f>+AB6*0.19</f>
        <v>0</v>
      </c>
      <c r="AD6">
        <f>+AB6+AC6</f>
        <v>0</v>
      </c>
    </row>
    <row r="7">
      <c r="W7">
        <f>+T7*S7</f>
        <v>0</v>
      </c>
      <c r="X7">
        <f>U7-W7</f>
        <v>0</v>
      </c>
      <c r="Y7">
        <f>+F7-E7</f>
        <v>0</v>
      </c>
      <c r="Z7">
        <f>+X7*$AF$1</f>
        <v>0</v>
      </c>
      <c r="AA7">
        <f>+(X7*(V7/1000)+(Z7*(V7/2/1000)))</f>
        <v>0</v>
      </c>
      <c r="AB7">
        <f>+(AA7/365)*Y7</f>
        <v>0</v>
      </c>
      <c r="AC7">
        <f>+AB7*0.19</f>
        <v>0</v>
      </c>
      <c r="AD7">
        <f>+AB7+AC7</f>
        <v>0</v>
      </c>
    </row>
    <row r="8">
      <c r="W8">
        <f>+T8*S8</f>
        <v>0</v>
      </c>
      <c r="X8">
        <f>U8-W8</f>
        <v>0</v>
      </c>
      <c r="Y8">
        <f>+F8-E8</f>
        <v>0</v>
      </c>
      <c r="Z8">
        <f>+X8*$AF$1</f>
        <v>0</v>
      </c>
      <c r="AA8">
        <f>+(X8*(V8/1000)+(Z8*(V8/2/1000)))</f>
        <v>0</v>
      </c>
      <c r="AB8">
        <f>+(AA8/365)*Y8</f>
        <v>0</v>
      </c>
      <c r="AC8">
        <f>+AB8*0.19</f>
        <v>0</v>
      </c>
      <c r="AD8">
        <f>+AB8+AC8</f>
        <v>0</v>
      </c>
    </row>
    <row r="9">
      <c r="W9">
        <f>+T9*S9</f>
        <v>0</v>
      </c>
      <c r="X9">
        <f>U9-W9</f>
        <v>0</v>
      </c>
      <c r="Y9">
        <f>+F9-E9</f>
        <v>0</v>
      </c>
      <c r="Z9">
        <f>+X9*$AF$1</f>
        <v>0</v>
      </c>
      <c r="AA9">
        <f>+(X9*(V9/1000)+(Z9*(V9/2/1000)))</f>
        <v>0</v>
      </c>
      <c r="AB9">
        <f>+(AA9/365)*Y9</f>
        <v>0</v>
      </c>
      <c r="AC9">
        <f>+AB9*0.19</f>
        <v>0</v>
      </c>
      <c r="AD9">
        <f>+AB9+AC9</f>
        <v>0</v>
      </c>
    </row>
    <row r="10">
      <c r="W10">
        <f>+T10*S10</f>
        <v>0</v>
      </c>
      <c r="X10">
        <f>U10-W10</f>
        <v>0</v>
      </c>
      <c r="Y10">
        <f>+F10-E10</f>
        <v>0</v>
      </c>
      <c r="Z10">
        <f>+X10*$AF$1</f>
        <v>0</v>
      </c>
      <c r="AA10">
        <f>+(X10*(V10/1000)+(Z10*(V10/2/1000)))</f>
        <v>0</v>
      </c>
      <c r="AB10">
        <f>+(AA10/365)*Y10</f>
        <v>0</v>
      </c>
      <c r="AC10">
        <f>+AB10*0.19</f>
        <v>0</v>
      </c>
      <c r="AD10">
        <f>+AB10+AC10</f>
        <v>0</v>
      </c>
    </row>
    <row r="11">
      <c r="W11">
        <f>+T11*S11</f>
        <v>0</v>
      </c>
      <c r="X11">
        <f>U11-W11</f>
        <v>0</v>
      </c>
      <c r="Y11">
        <f>+F11-E11</f>
        <v>0</v>
      </c>
      <c r="Z11">
        <f>+X11*$AF$1</f>
        <v>0</v>
      </c>
      <c r="AA11">
        <f>+(X11*(V11/1000)+(Z11*(V11/2/1000)))</f>
        <v>0</v>
      </c>
      <c r="AB11">
        <f>+(AA11/365)*Y11</f>
        <v>0</v>
      </c>
      <c r="AC11">
        <f>+AB11*0.19</f>
        <v>0</v>
      </c>
      <c r="AD11">
        <f>+AB11+AC11</f>
        <v>0</v>
      </c>
    </row>
    <row r="12">
      <c r="W12">
        <f>+T12*S12</f>
        <v>0</v>
      </c>
      <c r="X12">
        <f>U12-W12</f>
        <v>0</v>
      </c>
      <c r="Y12">
        <f>+F12-E12</f>
        <v>0</v>
      </c>
      <c r="Z12">
        <f>+X12*$AF$1</f>
        <v>0</v>
      </c>
      <c r="AA12">
        <f>+(X12*(V12/1000)+(Z12*(V12/2/1000)))</f>
        <v>0</v>
      </c>
      <c r="AB12">
        <f>+(AA12/365)*Y12</f>
        <v>0</v>
      </c>
      <c r="AC12">
        <f>+AB12*0.19</f>
        <v>0</v>
      </c>
      <c r="AD12">
        <f>+AB12+AC12</f>
        <v>0</v>
      </c>
    </row>
    <row r="13">
      <c r="W13">
        <f>+T13*S13</f>
        <v>0</v>
      </c>
      <c r="X13">
        <f>U13-W13</f>
        <v>0</v>
      </c>
      <c r="Y13">
        <f>+F13-E13</f>
        <v>0</v>
      </c>
      <c r="Z13">
        <f>+X13*$AF$1</f>
        <v>0</v>
      </c>
      <c r="AA13">
        <f>+(X13*(V13/1000)+(Z13*(V13/2/1000)))</f>
        <v>0</v>
      </c>
      <c r="AB13">
        <f>+(AA13/365)*Y13</f>
        <v>0</v>
      </c>
      <c r="AC13">
        <f>+AB13*0.19</f>
        <v>0</v>
      </c>
      <c r="AD13">
        <f>+AB13+AC13</f>
        <v>0</v>
      </c>
    </row>
    <row r="14">
      <c r="W14">
        <f>+T14*S14</f>
        <v>0</v>
      </c>
      <c r="X14">
        <f>U14-W14</f>
        <v>0</v>
      </c>
      <c r="Y14">
        <f>+F14-E14</f>
        <v>0</v>
      </c>
      <c r="Z14">
        <f>+X14*$AF$1</f>
        <v>0</v>
      </c>
      <c r="AA14">
        <f>+(X14*(V14/1000)+(Z14*(V14/2/1000)))</f>
        <v>0</v>
      </c>
      <c r="AB14">
        <f>+(AA14/365)*Y14</f>
        <v>0</v>
      </c>
      <c r="AC14">
        <f>+AB14*0.19</f>
        <v>0</v>
      </c>
      <c r="AD14">
        <f>+AB14+AC14</f>
        <v>0</v>
      </c>
    </row>
    <row r="15">
      <c r="W15">
        <f>+T15*S15</f>
        <v>0</v>
      </c>
      <c r="X15">
        <f>U15-W15</f>
        <v>0</v>
      </c>
      <c r="Y15">
        <f>+F15-E15</f>
        <v>0</v>
      </c>
      <c r="Z15">
        <f>+X15*$AF$1</f>
        <v>0</v>
      </c>
      <c r="AA15">
        <f>+(X15*(V15/1000)+(Z15*(V15/2/1000)))</f>
        <v>0</v>
      </c>
      <c r="AB15">
        <f>+(AA15/365)*Y15</f>
        <v>0</v>
      </c>
      <c r="AC15">
        <f>+AB15*0.19</f>
        <v>0</v>
      </c>
      <c r="AD15">
        <f>+AB15+AC15</f>
        <v>0</v>
      </c>
    </row>
    <row r="16">
      <c r="W16">
        <f>+T16*S16</f>
        <v>0</v>
      </c>
      <c r="X16">
        <f>U16-W16</f>
        <v>0</v>
      </c>
      <c r="Y16">
        <f>+F16-E16</f>
        <v>0</v>
      </c>
      <c r="Z16">
        <f>+X16*$AF$1</f>
        <v>0</v>
      </c>
      <c r="AA16">
        <f>+(X16*(V16/1000)+(Z16*(V16/2/1000)))</f>
        <v>0</v>
      </c>
      <c r="AB16">
        <f>+(AA16/365)*Y16</f>
        <v>0</v>
      </c>
      <c r="AC16">
        <f>+AB16*0.19</f>
        <v>0</v>
      </c>
      <c r="AD16">
        <f>+AB16+AC16</f>
        <v>0</v>
      </c>
    </row>
    <row r="17">
      <c r="W17">
        <f>+T17*S17</f>
        <v>0</v>
      </c>
      <c r="X17">
        <f>U17-W17</f>
        <v>0</v>
      </c>
      <c r="Y17">
        <f>+F17-E17</f>
        <v>0</v>
      </c>
      <c r="Z17">
        <f>+X17*$AF$1</f>
        <v>0</v>
      </c>
      <c r="AA17">
        <f>+(X17*(V17/1000)+(Z17*(V17/2/1000)))</f>
        <v>0</v>
      </c>
      <c r="AB17">
        <f>+(AA17/365)*Y17</f>
        <v>0</v>
      </c>
      <c r="AC17">
        <f>+AB17*0.19</f>
        <v>0</v>
      </c>
      <c r="AD17">
        <f>+AB17+AC17</f>
        <v>0</v>
      </c>
    </row>
    <row r="18">
      <c r="W18">
        <f>+T18*S18</f>
        <v>0</v>
      </c>
      <c r="X18">
        <f>U18-W18</f>
        <v>0</v>
      </c>
      <c r="Y18">
        <f>+F18-E18</f>
        <v>0</v>
      </c>
      <c r="Z18">
        <f>+X18*$AF$1</f>
        <v>0</v>
      </c>
      <c r="AA18">
        <f>+(X18*(V18/1000)+(Z18*(V18/2/1000)))</f>
        <v>0</v>
      </c>
      <c r="AB18">
        <f>+(AA18/365)*Y18</f>
        <v>0</v>
      </c>
      <c r="AC18">
        <f>+AB18*0.19</f>
        <v>0</v>
      </c>
      <c r="AD18">
        <f>+AB18+AC18</f>
        <v>0</v>
      </c>
    </row>
    <row r="19">
      <c r="W19">
        <f>+T19*S19</f>
        <v>0</v>
      </c>
      <c r="X19">
        <f>U19-W19</f>
        <v>0</v>
      </c>
      <c r="Y19">
        <f>+F19-E19</f>
        <v>0</v>
      </c>
      <c r="Z19">
        <f>+X19*$AF$1</f>
        <v>0</v>
      </c>
      <c r="AA19">
        <f>+(X19*(V19/1000)+(Z19*(V19/2/1000)))</f>
        <v>0</v>
      </c>
      <c r="AB19">
        <f>+(AA19/365)*Y19</f>
        <v>0</v>
      </c>
      <c r="AC19">
        <f>+AB19*0.19</f>
        <v>0</v>
      </c>
      <c r="AD19">
        <f>+AB19+AC19</f>
        <v>0</v>
      </c>
    </row>
    <row r="20">
      <c r="W20">
        <f>+T20*S20</f>
        <v>0</v>
      </c>
      <c r="X20">
        <f>U20-W20</f>
        <v>0</v>
      </c>
      <c r="Y20">
        <f>+F20-E20</f>
        <v>0</v>
      </c>
      <c r="Z20">
        <f>+X20*$AF$1</f>
        <v>0</v>
      </c>
      <c r="AA20">
        <f>+(X20*(V20/1000)+(Z20*(V20/2/1000)))</f>
        <v>0</v>
      </c>
      <c r="AB20">
        <f>+(AA20/365)*Y20</f>
        <v>0</v>
      </c>
      <c r="AC20">
        <f>+AB20*0.19</f>
        <v>0</v>
      </c>
      <c r="AD20">
        <f>+AB20+AC20</f>
        <v>0</v>
      </c>
    </row>
    <row r="21">
      <c r="W21">
        <f>+T21*S21</f>
        <v>0</v>
      </c>
      <c r="X21">
        <f>U21-W21</f>
        <v>0</v>
      </c>
      <c r="Y21">
        <f>+F21-E21</f>
        <v>0</v>
      </c>
      <c r="Z21">
        <f>+X21*$AF$1</f>
        <v>0</v>
      </c>
      <c r="AA21">
        <f>+(X21*(V21/1000)+(Z21*(V21/2/1000)))</f>
        <v>0</v>
      </c>
      <c r="AB21">
        <f>+(AA21/365)*Y21</f>
        <v>0</v>
      </c>
      <c r="AC21">
        <f>+AB21*0.19</f>
        <v>0</v>
      </c>
      <c r="AD21">
        <f>+AB21+AC21</f>
        <v>0</v>
      </c>
    </row>
    <row r="22">
      <c r="W22">
        <f>+T22*S22</f>
        <v>0</v>
      </c>
      <c r="X22">
        <f>U22-W22</f>
        <v>0</v>
      </c>
      <c r="Y22">
        <f>+F22-E22</f>
        <v>0</v>
      </c>
      <c r="Z22">
        <f>+X22*$AF$1</f>
        <v>0</v>
      </c>
      <c r="AA22">
        <f>+(X22*(V22/1000)+(Z22*(V22/2/1000)))</f>
        <v>0</v>
      </c>
      <c r="AB22">
        <f>+(AA22/365)*Y22</f>
        <v>0</v>
      </c>
      <c r="AC22">
        <f>+AB22*0.19</f>
        <v>0</v>
      </c>
      <c r="AD22">
        <f>+AB22+AC22</f>
        <v>0</v>
      </c>
    </row>
    <row r="23">
      <c r="W23">
        <f>+T23*S23</f>
        <v>0</v>
      </c>
      <c r="X23">
        <f>U23-W23</f>
        <v>0</v>
      </c>
      <c r="Y23">
        <f>+F23-E23</f>
        <v>0</v>
      </c>
      <c r="Z23">
        <f>+X23*$AF$1</f>
        <v>0</v>
      </c>
      <c r="AA23">
        <f>+(X23*(V23/1000)+(Z23*(V23/2/1000)))</f>
        <v>0</v>
      </c>
      <c r="AB23">
        <f>+(AA23/365)*Y23</f>
        <v>0</v>
      </c>
      <c r="AC23">
        <f>+AB23*0.19</f>
        <v>0</v>
      </c>
      <c r="AD23">
        <f>+AB23+AC23</f>
        <v>0</v>
      </c>
    </row>
    <row r="24">
      <c r="W24">
        <f>+T24*S24</f>
        <v>0</v>
      </c>
      <c r="X24">
        <f>U24-W24</f>
        <v>0</v>
      </c>
      <c r="Y24">
        <f>+F24-E24</f>
        <v>0</v>
      </c>
      <c r="Z24">
        <f>+X24*$AF$1</f>
        <v>0</v>
      </c>
      <c r="AA24">
        <f>+(X24*(V24/1000)+(Z24*(V24/2/1000)))</f>
        <v>0</v>
      </c>
      <c r="AB24">
        <f>+(AA24/365)*Y24</f>
        <v>0</v>
      </c>
      <c r="AC24">
        <f>+AB24*0.19</f>
        <v>0</v>
      </c>
      <c r="AD24">
        <f>+AB24+AC24</f>
        <v>0</v>
      </c>
    </row>
  </sheetData>
  <pageMargins left="0.7" right="0.7" top="0.75" bottom="0.75" header="0.3" footer="0.3"/>
  <ignoredErrors>
    <ignoredError numberStoredAsText="1" sqref="A1:A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2018-08-16T14:04:51Z</dcterms:created>
  <dcterms:modified xsi:type="dcterms:W3CDTF">2026-08-25T13:40:31Z</dcterms:modified>
  <cp:lastModifiedBy>Licenciamiento - Cuantico Seguros</cp:lastModifiedBy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7dcfcf-2f13-416d-bd85-85e5cda1e908_Enabled">
    <vt:lpwstr>true</vt:lpwstr>
  </property>
  <property fmtid="{D5CDD505-2E9C-101B-9397-08002B2CF9AE}" pid="3" name="MSIP_Label_4d7dcfcf-2f13-416d-bd85-85e5cda1e908_SetDate">
    <vt:lpwstr>2022-07-25T20:44:19Z</vt:lpwstr>
  </property>
  <property fmtid="{D5CDD505-2E9C-101B-9397-08002B2CF9AE}" pid="4" name="MSIP_Label_4d7dcfcf-2f13-416d-bd85-85e5cda1e908_Method">
    <vt:lpwstr>Privileged</vt:lpwstr>
  </property>
  <property fmtid="{D5CDD505-2E9C-101B-9397-08002B2CF9AE}" pid="5" name="MSIP_Label_4d7dcfcf-2f13-416d-bd85-85e5cda1e908_Name">
    <vt:lpwstr>PÃºblica</vt:lpwstr>
  </property>
  <property fmtid="{D5CDD505-2E9C-101B-9397-08002B2CF9AE}" pid="6" name="MSIP_Label_4d7dcfcf-2f13-416d-bd85-85e5cda1e908_SiteId">
    <vt:lpwstr>73e84937-70de-4ceb-8f14-b8f9ab356f6e</vt:lpwstr>
  </property>
  <property fmtid="{D5CDD505-2E9C-101B-9397-08002B2CF9AE}" pid="7" name="MSIP_Label_4d7dcfcf-2f13-416d-bd85-85e5cda1e908_ActionId">
    <vt:lpwstr>ec04ad57-3e44-49d2-9277-d7b1f9c21a5b</vt:lpwstr>
  </property>
  <property fmtid="{D5CDD505-2E9C-101B-9397-08002B2CF9AE}" pid="8" name="MSIP_Label_4d7dcfcf-2f13-416d-bd85-85e5cda1e908_ContentBits">
    <vt:lpwstr>2</vt:lpwstr>
  </property>
  <property fmtid="{D5CDD505-2E9C-101B-9397-08002B2CF9AE}" pid="9" name="ContentTypeId">
    <vt:lpwstr>0x010100E2A6A35E53F6F5429D08E579A9F301BF</vt:lpwstr>
  </property>
  <property fmtid="{D5CDD505-2E9C-101B-9397-08002B2CF9AE}" pid="10" name="MediaServiceImageTags">
    <vt:lpwstr/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